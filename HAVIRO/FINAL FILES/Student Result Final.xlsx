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3MTT\Assignments\HAVIRO\FINAL FILES\"/>
    </mc:Choice>
  </mc:AlternateContent>
  <xr:revisionPtr revIDLastSave="0" documentId="13_ncr:1_{67F933C6-C789-40F4-9336-E13581204B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udent result data copied" sheetId="2" r:id="rId1"/>
    <sheet name="Student result data" sheetId="1" r:id="rId2"/>
  </sheets>
  <definedNames>
    <definedName name="_xlnm._FilterDatabase" localSheetId="0" hidden="1">'Student result data copied'!$A$1:$T$258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2" l="1" a="1"/>
  <c r="R3" i="2" s="1"/>
  <c r="R4" i="2" a="1"/>
  <c r="R4" i="2"/>
  <c r="R5" i="2" a="1"/>
  <c r="R5" i="2" s="1"/>
  <c r="S5" i="2" s="1" a="1"/>
  <c r="S5" i="2" s="1"/>
  <c r="T5" i="2" s="1" a="1"/>
  <c r="T5" i="2" s="1"/>
  <c r="R6" i="2" a="1"/>
  <c r="R6" i="2"/>
  <c r="R7" i="2" a="1"/>
  <c r="R7" i="2" s="1"/>
  <c r="R8" i="2" a="1"/>
  <c r="R8" i="2"/>
  <c r="R9" i="2" a="1"/>
  <c r="R9" i="2" s="1"/>
  <c r="R10" i="2" a="1"/>
  <c r="R10" i="2"/>
  <c r="S10" i="2" s="1" a="1"/>
  <c r="S10" i="2" s="1"/>
  <c r="T10" i="2" s="1" a="1"/>
  <c r="T10" i="2" s="1"/>
  <c r="R11" i="2" a="1"/>
  <c r="R11" i="2" s="1"/>
  <c r="R12" i="2" a="1"/>
  <c r="R12" i="2" s="1"/>
  <c r="R13" i="2" a="1"/>
  <c r="R13" i="2" s="1"/>
  <c r="R14" i="2" a="1"/>
  <c r="R14" i="2" s="1"/>
  <c r="S14" i="2" s="1" a="1"/>
  <c r="S14" i="2" s="1"/>
  <c r="T14" i="2" s="1" a="1"/>
  <c r="T14" i="2" s="1"/>
  <c r="R15" i="2" a="1"/>
  <c r="R15" i="2" s="1"/>
  <c r="R16" i="2" a="1"/>
  <c r="R16" i="2" s="1"/>
  <c r="R17" i="2" a="1"/>
  <c r="R17" i="2" s="1"/>
  <c r="R18" i="2" a="1"/>
  <c r="R18" i="2"/>
  <c r="R19" i="2" a="1"/>
  <c r="R19" i="2" s="1"/>
  <c r="R20" i="2" a="1"/>
  <c r="R20" i="2" s="1"/>
  <c r="R21" i="2" a="1"/>
  <c r="R21" i="2" s="1"/>
  <c r="S21" i="2" s="1" a="1"/>
  <c r="S21" i="2" s="1"/>
  <c r="T21" i="2" s="1" a="1"/>
  <c r="T21" i="2" s="1"/>
  <c r="R22" i="2" a="1"/>
  <c r="R22" i="2" s="1"/>
  <c r="R23" i="2" a="1"/>
  <c r="R23" i="2" s="1"/>
  <c r="R24" i="2" a="1"/>
  <c r="R24" i="2" s="1"/>
  <c r="R25" i="2" a="1"/>
  <c r="R25" i="2" s="1"/>
  <c r="R26" i="2" a="1"/>
  <c r="R26" i="2"/>
  <c r="R27" i="2" a="1"/>
  <c r="R27" i="2" s="1"/>
  <c r="R28" i="2" a="1"/>
  <c r="R28" i="2" s="1"/>
  <c r="S28" i="2" s="1" a="1"/>
  <c r="S28" i="2" s="1"/>
  <c r="T28" i="2" s="1" a="1"/>
  <c r="T28" i="2" s="1"/>
  <c r="R29" i="2" a="1"/>
  <c r="R29" i="2" s="1"/>
  <c r="R30" i="2" a="1"/>
  <c r="R30" i="2"/>
  <c r="R31" i="2" a="1"/>
  <c r="R31" i="2" s="1"/>
  <c r="R32" i="2" a="1"/>
  <c r="R32" i="2" s="1"/>
  <c r="R33" i="2" a="1"/>
  <c r="R33" i="2" s="1"/>
  <c r="R34" i="2" a="1"/>
  <c r="R34" i="2"/>
  <c r="S34" i="2" s="1" a="1"/>
  <c r="S34" i="2" s="1"/>
  <c r="T34" i="2" s="1" a="1"/>
  <c r="T34" i="2" s="1"/>
  <c r="R35" i="2" a="1"/>
  <c r="R35" i="2" s="1"/>
  <c r="R36" i="2" a="1"/>
  <c r="R36" i="2" s="1"/>
  <c r="R37" i="2" a="1"/>
  <c r="R37" i="2" s="1"/>
  <c r="R38" i="2" a="1"/>
  <c r="R38" i="2"/>
  <c r="R39" i="2" a="1"/>
  <c r="R39" i="2" s="1"/>
  <c r="R40" i="2" a="1"/>
  <c r="R40" i="2" s="1"/>
  <c r="R41" i="2" a="1"/>
  <c r="R41" i="2" s="1"/>
  <c r="R42" i="2" a="1"/>
  <c r="R42" i="2"/>
  <c r="R43" i="2" a="1"/>
  <c r="R43" i="2" s="1"/>
  <c r="R44" i="2" a="1"/>
  <c r="R44" i="2" s="1"/>
  <c r="R45" i="2" a="1"/>
  <c r="R45" i="2" s="1"/>
  <c r="R46" i="2" a="1"/>
  <c r="R46" i="2"/>
  <c r="R47" i="2" a="1"/>
  <c r="R47" i="2" s="1"/>
  <c r="R48" i="2" a="1"/>
  <c r="R48" i="2" s="1"/>
  <c r="R49" i="2" a="1"/>
  <c r="R49" i="2" s="1"/>
  <c r="R50" i="2" a="1"/>
  <c r="R50" i="2"/>
  <c r="S50" i="2" s="1" a="1"/>
  <c r="S50" i="2" s="1"/>
  <c r="T50" i="2" s="1" a="1"/>
  <c r="T50" i="2" s="1"/>
  <c r="R51" i="2" a="1"/>
  <c r="R51" i="2" s="1"/>
  <c r="R52" i="2" a="1"/>
  <c r="R52" i="2" s="1"/>
  <c r="R53" i="2" a="1"/>
  <c r="R53" i="2" s="1"/>
  <c r="R54" i="2" a="1"/>
  <c r="R54" i="2"/>
  <c r="R55" i="2" a="1"/>
  <c r="R55" i="2" s="1"/>
  <c r="R56" i="2" a="1"/>
  <c r="R56" i="2" s="1"/>
  <c r="R57" i="2" a="1"/>
  <c r="R57" i="2" s="1"/>
  <c r="R58" i="2" a="1"/>
  <c r="R58" i="2"/>
  <c r="R59" i="2" a="1"/>
  <c r="R59" i="2" s="1"/>
  <c r="R60" i="2" a="1"/>
  <c r="R60" i="2" s="1"/>
  <c r="R61" i="2" a="1"/>
  <c r="R61" i="2" s="1"/>
  <c r="R62" i="2" a="1"/>
  <c r="R62" i="2"/>
  <c r="R63" i="2" a="1"/>
  <c r="R63" i="2" s="1"/>
  <c r="R64" i="2" a="1"/>
  <c r="R64" i="2" s="1"/>
  <c r="R65" i="2" a="1"/>
  <c r="R65" i="2" s="1"/>
  <c r="R66" i="2" a="1"/>
  <c r="R66" i="2"/>
  <c r="S66" i="2" s="1" a="1"/>
  <c r="S66" i="2" s="1"/>
  <c r="T66" i="2" s="1" a="1"/>
  <c r="T66" i="2" s="1"/>
  <c r="R67" i="2" a="1"/>
  <c r="R67" i="2" s="1"/>
  <c r="R68" i="2" a="1"/>
  <c r="R68" i="2" s="1"/>
  <c r="R69" i="2" a="1"/>
  <c r="R69" i="2" s="1"/>
  <c r="R70" i="2" a="1"/>
  <c r="R70" i="2"/>
  <c r="R71" i="2" a="1"/>
  <c r="R71" i="2" s="1"/>
  <c r="R72" i="2" a="1"/>
  <c r="R72" i="2" s="1"/>
  <c r="R73" i="2" a="1"/>
  <c r="R73" i="2" s="1"/>
  <c r="R74" i="2" a="1"/>
  <c r="R74" i="2"/>
  <c r="R75" i="2" a="1"/>
  <c r="R75" i="2" s="1"/>
  <c r="R76" i="2" a="1"/>
  <c r="R76" i="2" s="1"/>
  <c r="R77" i="2" a="1"/>
  <c r="R77" i="2" s="1"/>
  <c r="R78" i="2" a="1"/>
  <c r="R78" i="2"/>
  <c r="R79" i="2" a="1"/>
  <c r="R79" i="2" s="1"/>
  <c r="R80" i="2" a="1"/>
  <c r="R80" i="2" s="1"/>
  <c r="R81" i="2" a="1"/>
  <c r="R81" i="2" s="1"/>
  <c r="R82" i="2" a="1"/>
  <c r="R82" i="2"/>
  <c r="S82" i="2" s="1" a="1"/>
  <c r="S82" i="2" s="1"/>
  <c r="T82" i="2" s="1" a="1"/>
  <c r="T82" i="2" s="1"/>
  <c r="R83" i="2" a="1"/>
  <c r="R83" i="2" s="1"/>
  <c r="R84" i="2" a="1"/>
  <c r="R84" i="2" s="1"/>
  <c r="R85" i="2" a="1"/>
  <c r="R85" i="2" s="1"/>
  <c r="R86" i="2" a="1"/>
  <c r="R86" i="2"/>
  <c r="R87" i="2" a="1"/>
  <c r="R87" i="2" s="1"/>
  <c r="R88" i="2" a="1"/>
  <c r="R88" i="2" s="1"/>
  <c r="R89" i="2" a="1"/>
  <c r="R89" i="2" s="1"/>
  <c r="R90" i="2" a="1"/>
  <c r="R90" i="2"/>
  <c r="R91" i="2" a="1"/>
  <c r="R91" i="2" s="1"/>
  <c r="R92" i="2" a="1"/>
  <c r="R92" i="2" s="1"/>
  <c r="S92" i="2" s="1" a="1"/>
  <c r="S92" i="2" s="1"/>
  <c r="T92" i="2" s="1" a="1"/>
  <c r="T92" i="2" s="1"/>
  <c r="R93" i="2" a="1"/>
  <c r="R93" i="2" s="1"/>
  <c r="R94" i="2" a="1"/>
  <c r="R94" i="2"/>
  <c r="R95" i="2" a="1"/>
  <c r="R95" i="2" s="1"/>
  <c r="R96" i="2" a="1"/>
  <c r="R96" i="2" s="1"/>
  <c r="R97" i="2" a="1"/>
  <c r="R97" i="2" s="1"/>
  <c r="R98" i="2" a="1"/>
  <c r="R98" i="2"/>
  <c r="S98" i="2" s="1" a="1"/>
  <c r="S98" i="2" s="1"/>
  <c r="T98" i="2" s="1" a="1"/>
  <c r="T98" i="2" s="1"/>
  <c r="R99" i="2" a="1"/>
  <c r="R99" i="2" s="1"/>
  <c r="R100" i="2" a="1"/>
  <c r="R100" i="2" s="1"/>
  <c r="R101" i="2" a="1"/>
  <c r="R101" i="2" s="1"/>
  <c r="R102" i="2" a="1"/>
  <c r="R102" i="2"/>
  <c r="R103" i="2" a="1"/>
  <c r="R103" i="2" s="1"/>
  <c r="R104" i="2" a="1"/>
  <c r="R104" i="2" s="1"/>
  <c r="R105" i="2" a="1"/>
  <c r="R105" i="2" s="1"/>
  <c r="R106" i="2" a="1"/>
  <c r="R106" i="2"/>
  <c r="R107" i="2" a="1"/>
  <c r="R107" i="2" s="1"/>
  <c r="R108" i="2" a="1"/>
  <c r="R108" i="2" s="1"/>
  <c r="S108" i="2" s="1" a="1"/>
  <c r="S108" i="2" s="1"/>
  <c r="T108" i="2" s="1" a="1"/>
  <c r="T108" i="2" s="1"/>
  <c r="R109" i="2" a="1"/>
  <c r="R109" i="2" s="1"/>
  <c r="R110" i="2" a="1"/>
  <c r="R110" i="2"/>
  <c r="R111" i="2" a="1"/>
  <c r="R111" i="2" s="1"/>
  <c r="R112" i="2" a="1"/>
  <c r="R112" i="2" s="1"/>
  <c r="R113" i="2" a="1"/>
  <c r="R113" i="2" s="1"/>
  <c r="R114" i="2" a="1"/>
  <c r="R114" i="2"/>
  <c r="S114" i="2" s="1" a="1"/>
  <c r="S114" i="2" s="1"/>
  <c r="T114" i="2" s="1" a="1"/>
  <c r="T114" i="2" s="1"/>
  <c r="R115" i="2" a="1"/>
  <c r="R115" i="2" s="1"/>
  <c r="R116" i="2" a="1"/>
  <c r="R116" i="2" s="1"/>
  <c r="R117" i="2" a="1"/>
  <c r="R117" i="2" s="1"/>
  <c r="R118" i="2" a="1"/>
  <c r="R118" i="2"/>
  <c r="R119" i="2" a="1"/>
  <c r="R119" i="2" s="1"/>
  <c r="R120" i="2" a="1"/>
  <c r="R120" i="2" s="1"/>
  <c r="R121" i="2" a="1"/>
  <c r="R121" i="2" s="1"/>
  <c r="R122" i="2" a="1"/>
  <c r="R122" i="2"/>
  <c r="R123" i="2" a="1"/>
  <c r="R123" i="2" s="1"/>
  <c r="R124" i="2" a="1"/>
  <c r="R124" i="2" s="1"/>
  <c r="R125" i="2" a="1"/>
  <c r="R125" i="2" s="1"/>
  <c r="R126" i="2" a="1"/>
  <c r="R126" i="2"/>
  <c r="R127" i="2" a="1"/>
  <c r="R127" i="2" s="1"/>
  <c r="R128" i="2" a="1"/>
  <c r="R128" i="2" s="1"/>
  <c r="S128" i="2" s="1" a="1"/>
  <c r="S128" i="2" s="1"/>
  <c r="T128" i="2" s="1" a="1"/>
  <c r="T128" i="2" s="1"/>
  <c r="R129" i="2" a="1"/>
  <c r="R129" i="2" s="1"/>
  <c r="R130" i="2" a="1"/>
  <c r="R130" i="2"/>
  <c r="S130" i="2" s="1" a="1"/>
  <c r="S130" i="2" s="1"/>
  <c r="T130" i="2" s="1" a="1"/>
  <c r="T130" i="2" s="1"/>
  <c r="R131" i="2" a="1"/>
  <c r="R131" i="2" s="1"/>
  <c r="R132" i="2" a="1"/>
  <c r="R132" i="2" s="1"/>
  <c r="R133" i="2" a="1"/>
  <c r="R133" i="2" s="1"/>
  <c r="S133" i="2" s="1" a="1"/>
  <c r="S133" i="2" s="1"/>
  <c r="R134" i="2" a="1"/>
  <c r="R134" i="2"/>
  <c r="R135" i="2" a="1"/>
  <c r="R135" i="2" s="1"/>
  <c r="R136" i="2" a="1"/>
  <c r="R136" i="2" s="1"/>
  <c r="R137" i="2" a="1"/>
  <c r="R137" i="2" s="1"/>
  <c r="R138" i="2" a="1"/>
  <c r="R138" i="2"/>
  <c r="S138" i="2" s="1" a="1"/>
  <c r="S138" i="2" s="1"/>
  <c r="R139" i="2" a="1"/>
  <c r="R139" i="2" s="1"/>
  <c r="R140" i="2" a="1"/>
  <c r="R140" i="2" s="1"/>
  <c r="S140" i="2" s="1" a="1"/>
  <c r="S140" i="2" s="1"/>
  <c r="T140" i="2" s="1" a="1"/>
  <c r="T140" i="2" s="1"/>
  <c r="R141" i="2" a="1"/>
  <c r="R141" i="2" s="1"/>
  <c r="R142" i="2" a="1"/>
  <c r="R142" i="2"/>
  <c r="R143" i="2" a="1"/>
  <c r="R143" i="2" s="1"/>
  <c r="R144" i="2" a="1"/>
  <c r="R144" i="2" s="1"/>
  <c r="S144" i="2" s="1" a="1"/>
  <c r="S144" i="2" s="1"/>
  <c r="T144" i="2" s="1" a="1"/>
  <c r="T144" i="2" s="1"/>
  <c r="R145" i="2" a="1"/>
  <c r="R145" i="2" s="1"/>
  <c r="R146" i="2" a="1"/>
  <c r="R146" i="2"/>
  <c r="S146" i="2" s="1" a="1"/>
  <c r="S146" i="2" s="1"/>
  <c r="T146" i="2" s="1" a="1"/>
  <c r="T146" i="2" s="1"/>
  <c r="R147" i="2" a="1"/>
  <c r="R147" i="2" s="1"/>
  <c r="R148" i="2" a="1"/>
  <c r="R148" i="2" s="1"/>
  <c r="R149" i="2" a="1"/>
  <c r="R149" i="2" s="1"/>
  <c r="S149" i="2" s="1" a="1"/>
  <c r="S149" i="2" s="1"/>
  <c r="R150" i="2" a="1"/>
  <c r="R150" i="2"/>
  <c r="R151" i="2" a="1"/>
  <c r="R151" i="2" s="1"/>
  <c r="R152" i="2" a="1"/>
  <c r="R152" i="2" s="1"/>
  <c r="R153" i="2" a="1"/>
  <c r="R153" i="2" s="1"/>
  <c r="R154" i="2" a="1"/>
  <c r="R154" i="2"/>
  <c r="S154" i="2" s="1" a="1"/>
  <c r="S154" i="2" s="1"/>
  <c r="R155" i="2" a="1"/>
  <c r="R155" i="2" s="1"/>
  <c r="R156" i="2" a="1"/>
  <c r="R156" i="2" s="1"/>
  <c r="S156" i="2" s="1" a="1"/>
  <c r="S156" i="2" s="1"/>
  <c r="T156" i="2" s="1" a="1"/>
  <c r="T156" i="2" s="1"/>
  <c r="R157" i="2" a="1"/>
  <c r="R157" i="2" s="1"/>
  <c r="R158" i="2" a="1"/>
  <c r="R158" i="2"/>
  <c r="R159" i="2" a="1"/>
  <c r="R159" i="2" s="1"/>
  <c r="R160" i="2" a="1"/>
  <c r="R160" i="2" s="1"/>
  <c r="R161" i="2" a="1"/>
  <c r="R161" i="2" s="1"/>
  <c r="R162" i="2" a="1"/>
  <c r="R162" i="2"/>
  <c r="S162" i="2" s="1" a="1"/>
  <c r="S162" i="2" s="1"/>
  <c r="T162" i="2" s="1" a="1"/>
  <c r="T162" i="2" s="1"/>
  <c r="R163" i="2" a="1"/>
  <c r="R163" i="2" s="1"/>
  <c r="R164" i="2" a="1"/>
  <c r="R164" i="2" s="1"/>
  <c r="R165" i="2" a="1"/>
  <c r="R165" i="2" s="1"/>
  <c r="R166" i="2" a="1"/>
  <c r="R166" i="2"/>
  <c r="R167" i="2" a="1"/>
  <c r="R167" i="2" s="1"/>
  <c r="R168" i="2" a="1"/>
  <c r="R168" i="2" s="1"/>
  <c r="R169" i="2" a="1"/>
  <c r="R169" i="2" s="1"/>
  <c r="R170" i="2" a="1"/>
  <c r="R170" i="2"/>
  <c r="S170" i="2" s="1" a="1"/>
  <c r="S170" i="2" s="1"/>
  <c r="R171" i="2" a="1"/>
  <c r="R171" i="2" s="1"/>
  <c r="R172" i="2" a="1"/>
  <c r="R172" i="2" s="1"/>
  <c r="S172" i="2" s="1" a="1"/>
  <c r="S172" i="2" s="1"/>
  <c r="T172" i="2" s="1" a="1"/>
  <c r="T172" i="2" s="1"/>
  <c r="R173" i="2" a="1"/>
  <c r="R173" i="2" s="1"/>
  <c r="R174" i="2" a="1"/>
  <c r="R174" i="2" s="1"/>
  <c r="S174" i="2" s="1" a="1"/>
  <c r="S174" i="2" s="1"/>
  <c r="R175" i="2" a="1"/>
  <c r="R175" i="2" s="1"/>
  <c r="R176" i="2" a="1"/>
  <c r="R176" i="2" s="1"/>
  <c r="S176" i="2" s="1" a="1"/>
  <c r="S176" i="2" s="1"/>
  <c r="T176" i="2" s="1" a="1"/>
  <c r="T176" i="2" s="1"/>
  <c r="R177" i="2" a="1"/>
  <c r="R177" i="2" s="1"/>
  <c r="R178" i="2" a="1"/>
  <c r="R178" i="2" s="1"/>
  <c r="S178" i="2" s="1" a="1"/>
  <c r="S178" i="2" s="1"/>
  <c r="R179" i="2" a="1"/>
  <c r="R179" i="2" s="1"/>
  <c r="R180" i="2" a="1"/>
  <c r="R180" i="2" s="1"/>
  <c r="S180" i="2" s="1" a="1"/>
  <c r="S180" i="2" s="1"/>
  <c r="T180" i="2" s="1" a="1"/>
  <c r="T180" i="2" s="1"/>
  <c r="R181" i="2" a="1"/>
  <c r="R181" i="2" s="1"/>
  <c r="R182" i="2" a="1"/>
  <c r="R182" i="2" s="1"/>
  <c r="R183" i="2" a="1"/>
  <c r="R183" i="2" s="1"/>
  <c r="R184" i="2" a="1"/>
  <c r="R184" i="2" s="1"/>
  <c r="R185" i="2" a="1"/>
  <c r="R185" i="2" s="1"/>
  <c r="R186" i="2" a="1"/>
  <c r="R186" i="2" s="1"/>
  <c r="R187" i="2" a="1"/>
  <c r="R187" i="2" s="1"/>
  <c r="R188" i="2" a="1"/>
  <c r="R188" i="2" s="1"/>
  <c r="S188" i="2" s="1" a="1"/>
  <c r="S188" i="2" s="1"/>
  <c r="T188" i="2" s="1" a="1"/>
  <c r="T188" i="2" s="1"/>
  <c r="R189" i="2" a="1"/>
  <c r="R189" i="2" s="1"/>
  <c r="R190" i="2" a="1"/>
  <c r="R190" i="2" s="1"/>
  <c r="R191" i="2" a="1"/>
  <c r="R191" i="2" s="1"/>
  <c r="R192" i="2" a="1"/>
  <c r="R192" i="2" s="1"/>
  <c r="S192" i="2" s="1" a="1"/>
  <c r="S192" i="2" s="1"/>
  <c r="T192" i="2" s="1" a="1"/>
  <c r="T192" i="2" s="1"/>
  <c r="R193" i="2" a="1"/>
  <c r="R193" i="2" s="1"/>
  <c r="R194" i="2" a="1"/>
  <c r="R194" i="2" s="1"/>
  <c r="R195" i="2" a="1"/>
  <c r="R195" i="2" s="1"/>
  <c r="R196" i="2" a="1"/>
  <c r="R196" i="2" s="1"/>
  <c r="R197" i="2" a="1"/>
  <c r="R197" i="2" s="1"/>
  <c r="R198" i="2" a="1"/>
  <c r="R198" i="2" s="1"/>
  <c r="R199" i="2" a="1"/>
  <c r="R199" i="2" s="1"/>
  <c r="R200" i="2" a="1"/>
  <c r="R200" i="2" s="1"/>
  <c r="S200" i="2" s="1" a="1"/>
  <c r="S200" i="2" s="1"/>
  <c r="T200" i="2" s="1" a="1"/>
  <c r="T200" i="2" s="1"/>
  <c r="R201" i="2" a="1"/>
  <c r="R201" i="2" s="1"/>
  <c r="R202" i="2" a="1"/>
  <c r="R202" i="2" s="1"/>
  <c r="R203" i="2" a="1"/>
  <c r="R203" i="2" s="1"/>
  <c r="R204" i="2" a="1"/>
  <c r="R204" i="2" s="1"/>
  <c r="S204" i="2" s="1" a="1"/>
  <c r="S204" i="2" s="1"/>
  <c r="T204" i="2" s="1" a="1"/>
  <c r="T204" i="2" s="1"/>
  <c r="R205" i="2" a="1"/>
  <c r="R205" i="2" s="1"/>
  <c r="R206" i="2" a="1"/>
  <c r="R206" i="2" s="1"/>
  <c r="R207" i="2" a="1"/>
  <c r="R207" i="2" s="1"/>
  <c r="R208" i="2" a="1"/>
  <c r="R208" i="2" s="1"/>
  <c r="S208" i="2" s="1" a="1"/>
  <c r="S208" i="2" s="1"/>
  <c r="T208" i="2" s="1" a="1"/>
  <c r="T208" i="2" s="1"/>
  <c r="R209" i="2" a="1"/>
  <c r="R209" i="2" s="1"/>
  <c r="R210" i="2" a="1"/>
  <c r="R210" i="2" s="1"/>
  <c r="R211" i="2" a="1"/>
  <c r="R211" i="2" s="1"/>
  <c r="R212" i="2" a="1"/>
  <c r="R212" i="2" s="1"/>
  <c r="S212" i="2" s="1" a="1"/>
  <c r="S212" i="2" s="1"/>
  <c r="T212" i="2" s="1" a="1"/>
  <c r="T212" i="2" s="1"/>
  <c r="R213" i="2" a="1"/>
  <c r="R213" i="2" s="1"/>
  <c r="R214" i="2" a="1"/>
  <c r="R214" i="2" s="1"/>
  <c r="R215" i="2" a="1"/>
  <c r="R215" i="2" s="1"/>
  <c r="R216" i="2" a="1"/>
  <c r="R216" i="2" s="1"/>
  <c r="S216" i="2" s="1" a="1"/>
  <c r="S216" i="2" s="1"/>
  <c r="T216" i="2" s="1" a="1"/>
  <c r="T216" i="2" s="1"/>
  <c r="R217" i="2" a="1"/>
  <c r="R217" i="2" s="1"/>
  <c r="R218" i="2" a="1"/>
  <c r="R218" i="2" s="1"/>
  <c r="R219" i="2" a="1"/>
  <c r="R219" i="2" s="1"/>
  <c r="R220" i="2" a="1"/>
  <c r="R220" i="2" s="1"/>
  <c r="R221" i="2" a="1"/>
  <c r="R221" i="2" s="1"/>
  <c r="R222" i="2" a="1"/>
  <c r="R222" i="2" s="1"/>
  <c r="R223" i="2" a="1"/>
  <c r="R223" i="2" s="1"/>
  <c r="R224" i="2" a="1"/>
  <c r="R224" i="2" s="1"/>
  <c r="S224" i="2" s="1" a="1"/>
  <c r="S224" i="2" s="1"/>
  <c r="T224" i="2" s="1" a="1"/>
  <c r="T224" i="2" s="1"/>
  <c r="R225" i="2" a="1"/>
  <c r="R225" i="2" s="1"/>
  <c r="R226" i="2" a="1"/>
  <c r="R226" i="2" s="1"/>
  <c r="R227" i="2" a="1"/>
  <c r="R227" i="2" s="1"/>
  <c r="R228" i="2" a="1"/>
  <c r="R228" i="2" s="1"/>
  <c r="S228" i="2" s="1" a="1"/>
  <c r="S228" i="2" s="1"/>
  <c r="T228" i="2" s="1" a="1"/>
  <c r="T228" i="2" s="1"/>
  <c r="R229" i="2" a="1"/>
  <c r="R229" i="2" s="1"/>
  <c r="R230" i="2" a="1"/>
  <c r="R230" i="2" s="1"/>
  <c r="R231" i="2" a="1"/>
  <c r="R231" i="2" s="1"/>
  <c r="R232" i="2" a="1"/>
  <c r="R232" i="2" s="1"/>
  <c r="S232" i="2" s="1" a="1"/>
  <c r="S232" i="2" s="1"/>
  <c r="T232" i="2" s="1" a="1"/>
  <c r="T232" i="2" s="1"/>
  <c r="R233" i="2" a="1"/>
  <c r="R233" i="2" s="1"/>
  <c r="R234" i="2" a="1"/>
  <c r="R234" i="2" s="1"/>
  <c r="R235" i="2" a="1"/>
  <c r="R235" i="2" s="1"/>
  <c r="R236" i="2" a="1"/>
  <c r="R236" i="2" s="1"/>
  <c r="R237" i="2" a="1"/>
  <c r="R237" i="2" s="1"/>
  <c r="R238" i="2" a="1"/>
  <c r="R238" i="2" s="1"/>
  <c r="R239" i="2" a="1"/>
  <c r="R239" i="2" s="1"/>
  <c r="R240" i="2" a="1"/>
  <c r="R240" i="2" s="1"/>
  <c r="S240" i="2" s="1" a="1"/>
  <c r="S240" i="2" s="1"/>
  <c r="T240" i="2" s="1" a="1"/>
  <c r="T240" i="2" s="1"/>
  <c r="R241" i="2" a="1"/>
  <c r="R241" i="2" s="1"/>
  <c r="R242" i="2" a="1"/>
  <c r="R242" i="2" s="1"/>
  <c r="R243" i="2" a="1"/>
  <c r="R243" i="2" s="1"/>
  <c r="R244" i="2" a="1"/>
  <c r="R244" i="2" s="1"/>
  <c r="S244" i="2" s="1" a="1"/>
  <c r="S244" i="2" s="1"/>
  <c r="T244" i="2" s="1" a="1"/>
  <c r="T244" i="2" s="1"/>
  <c r="R245" i="2" a="1"/>
  <c r="R245" i="2" s="1"/>
  <c r="R246" i="2" a="1"/>
  <c r="R246" i="2" s="1"/>
  <c r="R247" i="2" a="1"/>
  <c r="R247" i="2" s="1"/>
  <c r="R248" i="2" a="1"/>
  <c r="R248" i="2" s="1"/>
  <c r="S248" i="2" s="1" a="1"/>
  <c r="S248" i="2" s="1"/>
  <c r="T248" i="2" s="1" a="1"/>
  <c r="T248" i="2" s="1"/>
  <c r="R249" i="2" a="1"/>
  <c r="R249" i="2" s="1"/>
  <c r="R250" i="2" a="1"/>
  <c r="R250" i="2" s="1"/>
  <c r="R251" i="2" a="1"/>
  <c r="R251" i="2" s="1"/>
  <c r="R252" i="2" a="1"/>
  <c r="R252" i="2" s="1"/>
  <c r="R253" i="2" a="1"/>
  <c r="R253" i="2" s="1"/>
  <c r="R254" i="2" a="1"/>
  <c r="R254" i="2" s="1"/>
  <c r="R255" i="2" a="1"/>
  <c r="R255" i="2" s="1"/>
  <c r="R256" i="2" a="1"/>
  <c r="R256" i="2" s="1"/>
  <c r="S256" i="2" s="1" a="1"/>
  <c r="S256" i="2" s="1"/>
  <c r="T256" i="2" s="1" a="1"/>
  <c r="T256" i="2" s="1"/>
  <c r="R257" i="2" a="1"/>
  <c r="R257" i="2" s="1"/>
  <c r="R258" i="2" a="1"/>
  <c r="R258" i="2" s="1"/>
  <c r="R2" i="2" a="1"/>
  <c r="R2" i="2" s="1"/>
  <c r="S2" i="2" s="1" a="1"/>
  <c r="S2" i="2" s="1"/>
  <c r="T2" i="2" s="1" a="1"/>
  <c r="T2" i="2" s="1"/>
  <c r="V4" i="2" a="1"/>
  <c r="V4" i="2" s="1"/>
  <c r="S22" i="2" a="1"/>
  <c r="S22" i="2" s="1"/>
  <c r="T22" i="2" s="1" a="1"/>
  <c r="T22" i="2" s="1"/>
  <c r="S23" i="2" a="1"/>
  <c r="S23" i="2" s="1"/>
  <c r="T23" i="2" s="1" a="1"/>
  <c r="T23" i="2" s="1"/>
  <c r="S127" i="2" a="1"/>
  <c r="S127" i="2" s="1"/>
  <c r="T127" i="2" s="1" a="1"/>
  <c r="T127" i="2"/>
  <c r="S129" i="2" a="1"/>
  <c r="S129" i="2" s="1"/>
  <c r="T129" i="2" s="1" a="1"/>
  <c r="T129" i="2" s="1"/>
  <c r="S131" i="2" a="1"/>
  <c r="S131" i="2" s="1"/>
  <c r="T131" i="2" a="1"/>
  <c r="T131" i="2" s="1"/>
  <c r="S132" i="2" a="1"/>
  <c r="S132" i="2" s="1"/>
  <c r="T132" i="2" s="1" a="1"/>
  <c r="T132" i="2" s="1"/>
  <c r="T133" i="2" a="1"/>
  <c r="T133" i="2" s="1"/>
  <c r="S134" i="2" a="1"/>
  <c r="S134" i="2" s="1"/>
  <c r="T134" i="2" a="1"/>
  <c r="T134" i="2" s="1"/>
  <c r="S135" i="2" a="1"/>
  <c r="S135" i="2" s="1"/>
  <c r="T135" i="2" a="1"/>
  <c r="T135" i="2" s="1"/>
  <c r="S136" i="2" a="1"/>
  <c r="S136" i="2" s="1"/>
  <c r="T136" i="2" s="1" a="1"/>
  <c r="T136" i="2" s="1"/>
  <c r="S137" i="2" a="1"/>
  <c r="S137" i="2" s="1"/>
  <c r="T137" i="2" a="1"/>
  <c r="T137" i="2" s="1"/>
  <c r="T138" i="2" a="1"/>
  <c r="T138" i="2" s="1"/>
  <c r="S139" i="2" a="1"/>
  <c r="S139" i="2" s="1"/>
  <c r="T139" i="2" s="1" a="1"/>
  <c r="T139" i="2"/>
  <c r="S141" i="2" a="1"/>
  <c r="S141" i="2" s="1"/>
  <c r="T141" i="2" s="1" a="1"/>
  <c r="T141" i="2" s="1"/>
  <c r="S142" i="2" a="1"/>
  <c r="S142" i="2" s="1"/>
  <c r="T142" i="2" a="1"/>
  <c r="T142" i="2" s="1"/>
  <c r="S143" i="2" a="1"/>
  <c r="S143" i="2" s="1"/>
  <c r="T143" i="2" s="1" a="1"/>
  <c r="T143" i="2" s="1"/>
  <c r="S145" i="2" a="1"/>
  <c r="S145" i="2" s="1"/>
  <c r="T145" i="2" s="1" a="1"/>
  <c r="T145" i="2" s="1"/>
  <c r="S147" i="2" a="1"/>
  <c r="S147" i="2" s="1"/>
  <c r="T147" i="2" a="1"/>
  <c r="T147" i="2" s="1"/>
  <c r="S148" i="2" a="1"/>
  <c r="S148" i="2" s="1"/>
  <c r="T148" i="2" s="1" a="1"/>
  <c r="T148" i="2" s="1"/>
  <c r="T149" i="2" a="1"/>
  <c r="T149" i="2" s="1"/>
  <c r="S150" i="2" a="1"/>
  <c r="S150" i="2" s="1"/>
  <c r="T150" i="2" a="1"/>
  <c r="T150" i="2" s="1"/>
  <c r="S151" i="2" a="1"/>
  <c r="S151" i="2" s="1"/>
  <c r="T151" i="2" a="1"/>
  <c r="T151" i="2" s="1"/>
  <c r="S152" i="2" a="1"/>
  <c r="S152" i="2" s="1"/>
  <c r="T152" i="2" s="1" a="1"/>
  <c r="T152" i="2" s="1"/>
  <c r="S153" i="2" a="1"/>
  <c r="S153" i="2" s="1"/>
  <c r="T153" i="2" a="1"/>
  <c r="T153" i="2" s="1"/>
  <c r="T154" i="2" a="1"/>
  <c r="T154" i="2" s="1"/>
  <c r="S155" i="2" a="1"/>
  <c r="S155" i="2" s="1"/>
  <c r="T155" i="2" s="1" a="1"/>
  <c r="T155" i="2" s="1"/>
  <c r="S157" i="2" a="1"/>
  <c r="S157" i="2" s="1"/>
  <c r="T157" i="2" s="1" a="1"/>
  <c r="T157" i="2" s="1"/>
  <c r="S158" i="2" a="1"/>
  <c r="S158" i="2" s="1"/>
  <c r="T158" i="2" a="1"/>
  <c r="T158" i="2" s="1"/>
  <c r="S159" i="2" a="1"/>
  <c r="S159" i="2" s="1"/>
  <c r="T159" i="2" s="1" a="1"/>
  <c r="T159" i="2"/>
  <c r="S160" i="2" a="1"/>
  <c r="S160" i="2" s="1"/>
  <c r="T160" i="2" s="1" a="1"/>
  <c r="T160" i="2" s="1"/>
  <c r="S161" i="2" a="1"/>
  <c r="S161" i="2" s="1"/>
  <c r="T161" i="2" s="1" a="1"/>
  <c r="T161" i="2" s="1"/>
  <c r="S163" i="2" a="1"/>
  <c r="S163" i="2" s="1"/>
  <c r="T163" i="2" a="1"/>
  <c r="T163" i="2" s="1"/>
  <c r="S164" i="2" a="1"/>
  <c r="S164" i="2" s="1"/>
  <c r="T164" i="2" s="1" a="1"/>
  <c r="T164" i="2" s="1"/>
  <c r="S165" i="2" a="1"/>
  <c r="S165" i="2" s="1"/>
  <c r="T165" i="2" a="1"/>
  <c r="T165" i="2" s="1"/>
  <c r="S166" i="2" a="1"/>
  <c r="S166" i="2" s="1"/>
  <c r="T166" i="2" a="1"/>
  <c r="T166" i="2" s="1"/>
  <c r="S167" i="2" a="1"/>
  <c r="S167" i="2" s="1"/>
  <c r="T167" i="2" a="1"/>
  <c r="T167" i="2" s="1"/>
  <c r="S168" i="2" a="1"/>
  <c r="S168" i="2" s="1"/>
  <c r="T168" i="2" s="1" a="1"/>
  <c r="T168" i="2" s="1"/>
  <c r="S169" i="2" a="1"/>
  <c r="S169" i="2" s="1"/>
  <c r="T169" i="2" s="1" a="1"/>
  <c r="T169" i="2" s="1"/>
  <c r="T170" i="2" a="1"/>
  <c r="T170" i="2"/>
  <c r="S171" i="2" a="1"/>
  <c r="S171" i="2" s="1"/>
  <c r="T171" i="2" s="1" a="1"/>
  <c r="T171" i="2" s="1"/>
  <c r="S173" i="2" a="1"/>
  <c r="S173" i="2" s="1"/>
  <c r="T173" i="2" s="1" a="1"/>
  <c r="T173" i="2" s="1"/>
  <c r="T174" i="2" a="1"/>
  <c r="T174" i="2" s="1"/>
  <c r="S175" i="2" a="1"/>
  <c r="S175" i="2" s="1"/>
  <c r="T175" i="2" s="1" a="1"/>
  <c r="T175" i="2"/>
  <c r="S177" i="2" a="1"/>
  <c r="S177" i="2" s="1"/>
  <c r="T177" i="2" s="1" a="1"/>
  <c r="T177" i="2" s="1"/>
  <c r="T178" i="2" a="1"/>
  <c r="T178" i="2" s="1"/>
  <c r="S179" i="2" a="1"/>
  <c r="S179" i="2" s="1"/>
  <c r="T179" i="2" s="1" a="1"/>
  <c r="T179" i="2" s="1"/>
  <c r="S181" i="2" a="1"/>
  <c r="S181" i="2" s="1"/>
  <c r="T181" i="2" a="1"/>
  <c r="T181" i="2" s="1"/>
  <c r="S182" i="2" a="1"/>
  <c r="S182" i="2" s="1"/>
  <c r="T182" i="2" s="1" a="1"/>
  <c r="T182" i="2" s="1"/>
  <c r="S183" i="2" a="1"/>
  <c r="S183" i="2" s="1"/>
  <c r="T183" i="2" a="1"/>
  <c r="T183" i="2" s="1"/>
  <c r="S184" i="2" a="1"/>
  <c r="S184" i="2" s="1"/>
  <c r="T184" i="2" s="1" a="1"/>
  <c r="T184" i="2" s="1"/>
  <c r="S185" i="2" a="1"/>
  <c r="S185" i="2" s="1"/>
  <c r="T185" i="2" s="1" a="1"/>
  <c r="T185" i="2" s="1"/>
  <c r="S186" i="2" a="1"/>
  <c r="S186" i="2" s="1"/>
  <c r="T186" i="2" a="1"/>
  <c r="T186" i="2" s="1"/>
  <c r="S187" i="2" a="1"/>
  <c r="S187" i="2" s="1"/>
  <c r="T187" i="2" a="1"/>
  <c r="T187" i="2"/>
  <c r="S189" i="2" a="1"/>
  <c r="S189" i="2" s="1"/>
  <c r="T189" i="2" a="1"/>
  <c r="T189" i="2" s="1"/>
  <c r="S190" i="2" a="1"/>
  <c r="S190" i="2" s="1"/>
  <c r="T190" i="2" s="1" a="1"/>
  <c r="T190" i="2" s="1"/>
  <c r="S191" i="2" a="1"/>
  <c r="S191" i="2" s="1"/>
  <c r="T191" i="2" s="1" a="1"/>
  <c r="T191" i="2" s="1"/>
  <c r="S193" i="2" a="1"/>
  <c r="S193" i="2" s="1"/>
  <c r="T193" i="2" s="1" a="1"/>
  <c r="T193" i="2" s="1"/>
  <c r="S194" i="2" a="1"/>
  <c r="S194" i="2" s="1"/>
  <c r="T194" i="2" a="1"/>
  <c r="T194" i="2"/>
  <c r="S195" i="2" a="1"/>
  <c r="S195" i="2" s="1"/>
  <c r="T195" i="2" s="1" a="1"/>
  <c r="T195" i="2" s="1"/>
  <c r="S196" i="2" a="1"/>
  <c r="S196" i="2" s="1"/>
  <c r="T196" i="2" s="1" a="1"/>
  <c r="T196" i="2" s="1"/>
  <c r="S197" i="2" a="1"/>
  <c r="S197" i="2" s="1"/>
  <c r="T197" i="2" s="1" a="1"/>
  <c r="T197" i="2" s="1"/>
  <c r="S198" i="2" a="1"/>
  <c r="S198" i="2" s="1"/>
  <c r="T198" i="2" s="1" a="1"/>
  <c r="T198" i="2" s="1"/>
  <c r="S199" i="2" a="1"/>
  <c r="S199" i="2" s="1"/>
  <c r="T199" i="2" s="1" a="1"/>
  <c r="T199" i="2" s="1"/>
  <c r="S201" i="2" a="1"/>
  <c r="S201" i="2" s="1"/>
  <c r="T201" i="2" s="1" a="1"/>
  <c r="T201" i="2" s="1"/>
  <c r="S202" i="2" a="1"/>
  <c r="S202" i="2" s="1"/>
  <c r="T202" i="2" s="1" a="1"/>
  <c r="T202" i="2" s="1"/>
  <c r="S203" i="2" a="1"/>
  <c r="S203" i="2" s="1"/>
  <c r="T203" i="2" s="1" a="1"/>
  <c r="T203" i="2" s="1"/>
  <c r="S205" i="2" a="1"/>
  <c r="S205" i="2" s="1"/>
  <c r="T205" i="2" s="1" a="1"/>
  <c r="T205" i="2" s="1"/>
  <c r="S206" i="2" a="1"/>
  <c r="S206" i="2" s="1"/>
  <c r="T206" i="2" s="1" a="1"/>
  <c r="T206" i="2" s="1"/>
  <c r="S207" i="2" a="1"/>
  <c r="S207" i="2" s="1"/>
  <c r="T207" i="2" a="1"/>
  <c r="T207" i="2" s="1"/>
  <c r="S209" i="2" a="1"/>
  <c r="S209" i="2" s="1"/>
  <c r="T209" i="2" s="1" a="1"/>
  <c r="T209" i="2" s="1"/>
  <c r="S210" i="2" a="1"/>
  <c r="S210" i="2" s="1"/>
  <c r="T210" i="2" s="1" a="1"/>
  <c r="T210" i="2" s="1"/>
  <c r="S211" i="2" a="1"/>
  <c r="S211" i="2" s="1"/>
  <c r="T211" i="2" a="1"/>
  <c r="T211" i="2" s="1"/>
  <c r="S213" i="2" a="1"/>
  <c r="S213" i="2" s="1"/>
  <c r="T213" i="2" a="1"/>
  <c r="T213" i="2" s="1"/>
  <c r="S214" i="2" a="1"/>
  <c r="S214" i="2" s="1"/>
  <c r="T214" i="2" s="1" a="1"/>
  <c r="T214" i="2" s="1"/>
  <c r="S215" i="2" a="1"/>
  <c r="S215" i="2" s="1"/>
  <c r="T215" i="2" s="1" a="1"/>
  <c r="T215" i="2" s="1"/>
  <c r="S217" i="2" a="1"/>
  <c r="S217" i="2" s="1"/>
  <c r="T217" i="2" s="1" a="1"/>
  <c r="T217" i="2" s="1"/>
  <c r="S218" i="2" a="1"/>
  <c r="S218" i="2" s="1"/>
  <c r="T218" i="2" a="1"/>
  <c r="T218" i="2"/>
  <c r="S219" i="2" a="1"/>
  <c r="S219" i="2" s="1"/>
  <c r="T219" i="2" s="1" a="1"/>
  <c r="T219" i="2" s="1"/>
  <c r="S220" i="2" a="1"/>
  <c r="S220" i="2" s="1"/>
  <c r="T220" i="2" s="1" a="1"/>
  <c r="T220" i="2" s="1"/>
  <c r="S221" i="2" a="1"/>
  <c r="S221" i="2" s="1"/>
  <c r="T221" i="2" s="1" a="1"/>
  <c r="T221" i="2" s="1"/>
  <c r="S222" i="2" a="1"/>
  <c r="S222" i="2" s="1"/>
  <c r="T222" i="2" a="1"/>
  <c r="T222" i="2" s="1"/>
  <c r="S223" i="2" a="1"/>
  <c r="S223" i="2" s="1"/>
  <c r="T223" i="2" a="1"/>
  <c r="T223" i="2"/>
  <c r="S225" i="2" a="1"/>
  <c r="S225" i="2" s="1"/>
  <c r="T225" i="2" a="1"/>
  <c r="T225" i="2" s="1"/>
  <c r="S226" i="2" a="1"/>
  <c r="S226" i="2" s="1"/>
  <c r="T226" i="2" s="1" a="1"/>
  <c r="T226" i="2" s="1"/>
  <c r="S227" i="2" a="1"/>
  <c r="S227" i="2" s="1"/>
  <c r="T227" i="2" a="1"/>
  <c r="T227" i="2" s="1"/>
  <c r="S229" i="2" a="1"/>
  <c r="S229" i="2" s="1"/>
  <c r="T229" i="2" a="1"/>
  <c r="T229" i="2" s="1"/>
  <c r="S230" i="2" a="1"/>
  <c r="S230" i="2" s="1"/>
  <c r="T230" i="2" s="1" a="1"/>
  <c r="T230" i="2" s="1"/>
  <c r="S231" i="2" a="1"/>
  <c r="S231" i="2" s="1"/>
  <c r="T231" i="2" s="1" a="1"/>
  <c r="T231" i="2" s="1"/>
  <c r="S233" i="2" a="1"/>
  <c r="S233" i="2" s="1"/>
  <c r="T233" i="2" s="1" a="1"/>
  <c r="T233" i="2" s="1"/>
  <c r="S234" i="2" a="1"/>
  <c r="S234" i="2" s="1"/>
  <c r="T234" i="2" a="1"/>
  <c r="T234" i="2"/>
  <c r="S235" i="2" a="1"/>
  <c r="S235" i="2" s="1"/>
  <c r="T235" i="2" s="1" a="1"/>
  <c r="T235" i="2" s="1"/>
  <c r="S236" i="2" a="1"/>
  <c r="S236" i="2" s="1"/>
  <c r="T236" i="2" s="1" a="1"/>
  <c r="T236" i="2" s="1"/>
  <c r="S237" i="2" a="1"/>
  <c r="S237" i="2" s="1"/>
  <c r="T237" i="2" s="1" a="1"/>
  <c r="T237" i="2" s="1"/>
  <c r="S238" i="2" a="1"/>
  <c r="S238" i="2" s="1"/>
  <c r="T238" i="2" a="1"/>
  <c r="T238" i="2" s="1"/>
  <c r="S239" i="2" a="1"/>
  <c r="S239" i="2" s="1"/>
  <c r="T239" i="2" a="1"/>
  <c r="T239" i="2"/>
  <c r="S241" i="2" a="1"/>
  <c r="S241" i="2" s="1"/>
  <c r="T241" i="2" a="1"/>
  <c r="T241" i="2" s="1"/>
  <c r="S242" i="2" a="1"/>
  <c r="S242" i="2" s="1"/>
  <c r="T242" i="2" s="1" a="1"/>
  <c r="T242" i="2" s="1"/>
  <c r="S243" i="2" a="1"/>
  <c r="S243" i="2" s="1"/>
  <c r="T243" i="2" a="1"/>
  <c r="T243" i="2" s="1"/>
  <c r="S245" i="2" a="1"/>
  <c r="S245" i="2" s="1"/>
  <c r="T245" i="2" a="1"/>
  <c r="T245" i="2" s="1"/>
  <c r="S246" i="2" a="1"/>
  <c r="S246" i="2" s="1"/>
  <c r="T246" i="2" s="1" a="1"/>
  <c r="T246" i="2" s="1"/>
  <c r="S247" i="2" a="1"/>
  <c r="S247" i="2" s="1"/>
  <c r="T247" i="2" s="1" a="1"/>
  <c r="T247" i="2" s="1"/>
  <c r="S249" i="2" a="1"/>
  <c r="S249" i="2" s="1"/>
  <c r="T249" i="2" s="1" a="1"/>
  <c r="T249" i="2" s="1"/>
  <c r="S250" i="2" a="1"/>
  <c r="S250" i="2" s="1"/>
  <c r="T250" i="2" a="1"/>
  <c r="T250" i="2"/>
  <c r="S251" i="2" a="1"/>
  <c r="S251" i="2" s="1"/>
  <c r="T251" i="2" s="1" a="1"/>
  <c r="T251" i="2" s="1"/>
  <c r="S252" i="2" a="1"/>
  <c r="S252" i="2" s="1"/>
  <c r="T252" i="2" s="1" a="1"/>
  <c r="T252" i="2" s="1"/>
  <c r="S253" i="2" a="1"/>
  <c r="S253" i="2" s="1"/>
  <c r="T253" i="2" s="1" a="1"/>
  <c r="T253" i="2" s="1"/>
  <c r="S254" i="2" a="1"/>
  <c r="S254" i="2" s="1"/>
  <c r="T254" i="2" a="1"/>
  <c r="T254" i="2" s="1"/>
  <c r="S255" i="2" a="1"/>
  <c r="S255" i="2"/>
  <c r="T255" i="2" a="1"/>
  <c r="T255" i="2" s="1"/>
  <c r="S257" i="2" a="1"/>
  <c r="S257" i="2"/>
  <c r="T257" i="2" a="1"/>
  <c r="T257" i="2" s="1"/>
  <c r="S258" i="2" a="1"/>
  <c r="S258" i="2"/>
  <c r="T258" i="2" a="1"/>
  <c r="T258" i="2" s="1"/>
  <c r="S3" i="2" a="1"/>
  <c r="S3" i="2" s="1"/>
  <c r="T3" i="2" s="1" a="1"/>
  <c r="T3" i="2"/>
  <c r="S4" i="2" a="1"/>
  <c r="S4" i="2" s="1"/>
  <c r="T4" i="2" s="1" a="1"/>
  <c r="T4" i="2" s="1"/>
  <c r="S6" i="2" a="1"/>
  <c r="S6" i="2" s="1"/>
  <c r="T6" i="2" s="1" a="1"/>
  <c r="T6" i="2" s="1"/>
  <c r="S7" i="2" a="1"/>
  <c r="S7" i="2" s="1"/>
  <c r="T7" i="2" s="1" a="1"/>
  <c r="T7" i="2" s="1"/>
  <c r="S8" i="2" a="1"/>
  <c r="S8" i="2" s="1"/>
  <c r="T8" i="2" s="1" a="1"/>
  <c r="T8" i="2" s="1"/>
  <c r="S9" i="2" a="1"/>
  <c r="S9" i="2" s="1"/>
  <c r="T9" i="2" s="1" a="1"/>
  <c r="T9" i="2"/>
  <c r="S11" i="2" a="1"/>
  <c r="S11" i="2" s="1"/>
  <c r="T11" i="2" s="1" a="1"/>
  <c r="T11" i="2"/>
  <c r="S12" i="2" a="1"/>
  <c r="S12" i="2" s="1"/>
  <c r="T12" i="2" s="1" a="1"/>
  <c r="T12" i="2" s="1"/>
  <c r="S13" i="2" a="1"/>
  <c r="S13" i="2" s="1"/>
  <c r="T13" i="2" s="1" a="1"/>
  <c r="T13" i="2" s="1"/>
  <c r="S15" i="2" a="1"/>
  <c r="S15" i="2" s="1"/>
  <c r="T15" i="2" s="1" a="1"/>
  <c r="T15" i="2" s="1"/>
  <c r="S16" i="2" a="1"/>
  <c r="S16" i="2" s="1"/>
  <c r="T16" i="2" s="1" a="1"/>
  <c r="T16" i="2" s="1"/>
  <c r="S17" i="2" a="1"/>
  <c r="S17" i="2" s="1"/>
  <c r="T17" i="2" s="1" a="1"/>
  <c r="T17" i="2"/>
  <c r="S18" i="2" a="1"/>
  <c r="S18" i="2" s="1"/>
  <c r="T18" i="2" s="1" a="1"/>
  <c r="T18" i="2" s="1"/>
  <c r="S19" i="2" a="1"/>
  <c r="S19" i="2" s="1"/>
  <c r="T19" i="2" s="1" a="1"/>
  <c r="T19" i="2"/>
  <c r="S20" i="2" a="1"/>
  <c r="S20" i="2" s="1"/>
  <c r="T20" i="2" s="1" a="1"/>
  <c r="T20" i="2" s="1"/>
  <c r="S24" i="2" a="1"/>
  <c r="S24" i="2" s="1"/>
  <c r="T24" i="2" s="1" a="1"/>
  <c r="T24" i="2" s="1"/>
  <c r="S25" i="2" a="1"/>
  <c r="S25" i="2" s="1"/>
  <c r="T25" i="2" s="1" a="1"/>
  <c r="T25" i="2" s="1"/>
  <c r="S26" i="2" a="1"/>
  <c r="S26" i="2" s="1"/>
  <c r="T26" i="2" s="1" a="1"/>
  <c r="T26" i="2" s="1"/>
  <c r="S27" i="2" a="1"/>
  <c r="S27" i="2" s="1"/>
  <c r="T27" i="2" s="1" a="1"/>
  <c r="T27" i="2"/>
  <c r="S29" i="2" a="1"/>
  <c r="S29" i="2" s="1"/>
  <c r="T29" i="2" s="1" a="1"/>
  <c r="T29" i="2"/>
  <c r="S30" i="2" a="1"/>
  <c r="S30" i="2" s="1"/>
  <c r="T30" i="2" s="1" a="1"/>
  <c r="T30" i="2" s="1"/>
  <c r="S31" i="2" a="1"/>
  <c r="S31" i="2" s="1"/>
  <c r="T31" i="2" s="1" a="1"/>
  <c r="T31" i="2" s="1"/>
  <c r="S32" i="2" a="1"/>
  <c r="S32" i="2" s="1"/>
  <c r="T32" i="2" a="1"/>
  <c r="T32" i="2" s="1"/>
  <c r="S33" i="2" a="1"/>
  <c r="S33" i="2" s="1"/>
  <c r="T33" i="2" s="1" a="1"/>
  <c r="T33" i="2" s="1"/>
  <c r="S35" i="2" a="1"/>
  <c r="S35" i="2" s="1"/>
  <c r="T35" i="2" s="1" a="1"/>
  <c r="T35" i="2" s="1"/>
  <c r="S36" i="2" a="1"/>
  <c r="S36" i="2" s="1"/>
  <c r="T36" i="2" a="1"/>
  <c r="T36" i="2"/>
  <c r="S37" i="2" a="1"/>
  <c r="S37" i="2" s="1"/>
  <c r="T37" i="2" s="1" a="1"/>
  <c r="T37" i="2" s="1"/>
  <c r="S38" i="2" a="1"/>
  <c r="S38" i="2" s="1"/>
  <c r="T38" i="2" s="1" a="1"/>
  <c r="T38" i="2" s="1"/>
  <c r="S39" i="2" a="1"/>
  <c r="S39" i="2" s="1"/>
  <c r="T39" i="2" a="1"/>
  <c r="T39" i="2" s="1"/>
  <c r="S40" i="2" a="1"/>
  <c r="S40" i="2" s="1"/>
  <c r="T40" i="2" s="1" a="1"/>
  <c r="T40" i="2" s="1"/>
  <c r="S41" i="2" a="1"/>
  <c r="S41" i="2" s="1"/>
  <c r="T41" i="2" s="1" a="1"/>
  <c r="T41" i="2" s="1"/>
  <c r="S42" i="2" a="1"/>
  <c r="S42" i="2" s="1"/>
  <c r="T42" i="2" s="1" a="1"/>
  <c r="T42" i="2" s="1"/>
  <c r="S43" i="2" a="1"/>
  <c r="S43" i="2" s="1"/>
  <c r="T43" i="2" a="1"/>
  <c r="T43" i="2" s="1"/>
  <c r="S44" i="2" a="1"/>
  <c r="S44" i="2" s="1"/>
  <c r="T44" i="2" s="1" a="1"/>
  <c r="T44" i="2" s="1"/>
  <c r="S45" i="2" a="1"/>
  <c r="S45" i="2" s="1"/>
  <c r="T45" i="2" s="1" a="1"/>
  <c r="T45" i="2" s="1"/>
  <c r="S46" i="2" a="1"/>
  <c r="S46" i="2" s="1"/>
  <c r="T46" i="2" s="1" a="1"/>
  <c r="T46" i="2" s="1"/>
  <c r="S47" i="2" a="1"/>
  <c r="S47" i="2" s="1"/>
  <c r="T47" i="2" s="1" a="1"/>
  <c r="T47" i="2" s="1"/>
  <c r="S48" i="2" a="1"/>
  <c r="S48" i="2" s="1"/>
  <c r="T48" i="2" a="1"/>
  <c r="T48" i="2" s="1"/>
  <c r="S49" i="2" a="1"/>
  <c r="S49" i="2" s="1"/>
  <c r="T49" i="2" s="1" a="1"/>
  <c r="T49" i="2" s="1"/>
  <c r="S51" i="2" a="1"/>
  <c r="S51" i="2" s="1"/>
  <c r="T51" i="2" s="1" a="1"/>
  <c r="T51" i="2" s="1"/>
  <c r="S52" i="2" a="1"/>
  <c r="S52" i="2" s="1"/>
  <c r="T52" i="2" a="1"/>
  <c r="T52" i="2"/>
  <c r="S53" i="2" a="1"/>
  <c r="S53" i="2" s="1"/>
  <c r="T53" i="2" s="1" a="1"/>
  <c r="T53" i="2" s="1"/>
  <c r="S54" i="2" a="1"/>
  <c r="S54" i="2" s="1"/>
  <c r="T54" i="2" s="1" a="1"/>
  <c r="T54" i="2" s="1"/>
  <c r="S55" i="2" a="1"/>
  <c r="S55" i="2" s="1"/>
  <c r="T55" i="2" a="1"/>
  <c r="T55" i="2" s="1"/>
  <c r="S56" i="2" a="1"/>
  <c r="S56" i="2" s="1"/>
  <c r="T56" i="2" s="1" a="1"/>
  <c r="T56" i="2" s="1"/>
  <c r="S57" i="2" a="1"/>
  <c r="S57" i="2" s="1"/>
  <c r="T57" i="2" s="1" a="1"/>
  <c r="T57" i="2" s="1"/>
  <c r="S58" i="2" a="1"/>
  <c r="S58" i="2" s="1"/>
  <c r="T58" i="2" s="1" a="1"/>
  <c r="T58" i="2" s="1"/>
  <c r="S59" i="2" a="1"/>
  <c r="S59" i="2" s="1"/>
  <c r="T59" i="2" a="1"/>
  <c r="T59" i="2" s="1"/>
  <c r="S60" i="2" a="1"/>
  <c r="S60" i="2" s="1"/>
  <c r="T60" i="2" s="1" a="1"/>
  <c r="T60" i="2" s="1"/>
  <c r="S61" i="2" a="1"/>
  <c r="S61" i="2" s="1"/>
  <c r="T61" i="2" s="1" a="1"/>
  <c r="T61" i="2" s="1"/>
  <c r="S62" i="2" a="1"/>
  <c r="S62" i="2" s="1"/>
  <c r="T62" i="2" s="1" a="1"/>
  <c r="T62" i="2" s="1"/>
  <c r="S63" i="2" a="1"/>
  <c r="S63" i="2" s="1"/>
  <c r="T63" i="2" s="1" a="1"/>
  <c r="T63" i="2" s="1"/>
  <c r="S64" i="2" a="1"/>
  <c r="S64" i="2" s="1"/>
  <c r="T64" i="2" a="1"/>
  <c r="T64" i="2" s="1"/>
  <c r="S65" i="2" a="1"/>
  <c r="S65" i="2" s="1"/>
  <c r="T65" i="2" s="1" a="1"/>
  <c r="T65" i="2" s="1"/>
  <c r="S67" i="2" a="1"/>
  <c r="S67" i="2" s="1"/>
  <c r="T67" i="2" s="1" a="1"/>
  <c r="T67" i="2" s="1"/>
  <c r="S68" i="2" a="1"/>
  <c r="S68" i="2" s="1"/>
  <c r="T68" i="2" a="1"/>
  <c r="T68" i="2"/>
  <c r="S69" i="2" a="1"/>
  <c r="S69" i="2" s="1"/>
  <c r="T69" i="2" s="1" a="1"/>
  <c r="T69" i="2" s="1"/>
  <c r="S70" i="2" a="1"/>
  <c r="S70" i="2" s="1"/>
  <c r="T70" i="2" s="1" a="1"/>
  <c r="T70" i="2" s="1"/>
  <c r="S71" i="2" a="1"/>
  <c r="S71" i="2" s="1"/>
  <c r="T71" i="2" a="1"/>
  <c r="T71" i="2" s="1"/>
  <c r="S72" i="2" a="1"/>
  <c r="S72" i="2" s="1"/>
  <c r="T72" i="2" s="1" a="1"/>
  <c r="T72" i="2" s="1"/>
  <c r="S73" i="2" a="1"/>
  <c r="S73" i="2" s="1"/>
  <c r="T73" i="2" s="1" a="1"/>
  <c r="T73" i="2" s="1"/>
  <c r="S74" i="2" a="1"/>
  <c r="S74" i="2" s="1"/>
  <c r="T74" i="2" s="1" a="1"/>
  <c r="T74" i="2" s="1"/>
  <c r="S75" i="2" a="1"/>
  <c r="S75" i="2" s="1"/>
  <c r="T75" i="2" a="1"/>
  <c r="T75" i="2" s="1"/>
  <c r="S76" i="2" a="1"/>
  <c r="S76" i="2" s="1"/>
  <c r="T76" i="2" s="1" a="1"/>
  <c r="T76" i="2" s="1"/>
  <c r="S77" i="2" a="1"/>
  <c r="S77" i="2" s="1"/>
  <c r="T77" i="2" s="1" a="1"/>
  <c r="T77" i="2" s="1"/>
  <c r="S78" i="2" a="1"/>
  <c r="S78" i="2" s="1"/>
  <c r="T78" i="2" s="1" a="1"/>
  <c r="T78" i="2" s="1"/>
  <c r="S79" i="2" a="1"/>
  <c r="S79" i="2" s="1"/>
  <c r="T79" i="2" s="1" a="1"/>
  <c r="T79" i="2" s="1"/>
  <c r="S80" i="2" a="1"/>
  <c r="S80" i="2" s="1"/>
  <c r="T80" i="2" a="1"/>
  <c r="T80" i="2" s="1"/>
  <c r="S81" i="2" a="1"/>
  <c r="S81" i="2" s="1"/>
  <c r="T81" i="2" s="1" a="1"/>
  <c r="T81" i="2" s="1"/>
  <c r="S83" i="2" a="1"/>
  <c r="S83" i="2" s="1"/>
  <c r="T83" i="2" s="1" a="1"/>
  <c r="T83" i="2" s="1"/>
  <c r="S84" i="2" a="1"/>
  <c r="S84" i="2" s="1"/>
  <c r="T84" i="2" a="1"/>
  <c r="T84" i="2"/>
  <c r="S85" i="2" a="1"/>
  <c r="S85" i="2" s="1"/>
  <c r="T85" i="2" s="1" a="1"/>
  <c r="T85" i="2" s="1"/>
  <c r="S86" i="2" a="1"/>
  <c r="S86" i="2" s="1"/>
  <c r="T86" i="2" s="1" a="1"/>
  <c r="T86" i="2" s="1"/>
  <c r="S87" i="2" a="1"/>
  <c r="S87" i="2"/>
  <c r="T87" i="2" s="1" a="1"/>
  <c r="T87" i="2" s="1"/>
  <c r="S88" i="2" a="1"/>
  <c r="S88" i="2" s="1"/>
  <c r="T88" i="2" s="1" a="1"/>
  <c r="T88" i="2" s="1"/>
  <c r="S89" i="2" a="1"/>
  <c r="S89" i="2"/>
  <c r="T89" i="2" s="1" a="1"/>
  <c r="T89" i="2" s="1"/>
  <c r="S90" i="2" a="1"/>
  <c r="S90" i="2" s="1"/>
  <c r="T90" i="2" s="1" a="1"/>
  <c r="T90" i="2" s="1"/>
  <c r="S91" i="2" a="1"/>
  <c r="S91" i="2"/>
  <c r="T91" i="2" s="1" a="1"/>
  <c r="T91" i="2" s="1"/>
  <c r="S93" i="2" a="1"/>
  <c r="S93" i="2"/>
  <c r="T93" i="2" s="1" a="1"/>
  <c r="T93" i="2" s="1"/>
  <c r="S94" i="2" a="1"/>
  <c r="S94" i="2" s="1"/>
  <c r="T94" i="2" s="1" a="1"/>
  <c r="T94" i="2" s="1"/>
  <c r="S95" i="2" a="1"/>
  <c r="S95" i="2"/>
  <c r="T95" i="2" s="1" a="1"/>
  <c r="T95" i="2" s="1"/>
  <c r="S96" i="2" a="1"/>
  <c r="S96" i="2" s="1"/>
  <c r="T96" i="2" s="1" a="1"/>
  <c r="T96" i="2" s="1"/>
  <c r="S97" i="2" a="1"/>
  <c r="S97" i="2"/>
  <c r="T97" i="2" s="1" a="1"/>
  <c r="T97" i="2" s="1"/>
  <c r="S99" i="2" a="1"/>
  <c r="S99" i="2"/>
  <c r="T99" i="2" s="1" a="1"/>
  <c r="T99" i="2" s="1"/>
  <c r="S100" i="2" a="1"/>
  <c r="S100" i="2" s="1"/>
  <c r="T100" i="2" s="1" a="1"/>
  <c r="T100" i="2" s="1"/>
  <c r="S101" i="2" a="1"/>
  <c r="S101" i="2"/>
  <c r="T101" i="2" s="1" a="1"/>
  <c r="T101" i="2" s="1"/>
  <c r="S102" i="2" a="1"/>
  <c r="S102" i="2" s="1"/>
  <c r="T102" i="2" s="1" a="1"/>
  <c r="T102" i="2" s="1"/>
  <c r="S103" i="2" a="1"/>
  <c r="S103" i="2"/>
  <c r="T103" i="2" s="1" a="1"/>
  <c r="T103" i="2" s="1"/>
  <c r="S104" i="2" a="1"/>
  <c r="S104" i="2" s="1"/>
  <c r="T104" i="2" s="1" a="1"/>
  <c r="T104" i="2" s="1"/>
  <c r="S105" i="2" a="1"/>
  <c r="S105" i="2"/>
  <c r="T105" i="2" s="1" a="1"/>
  <c r="T105" i="2" s="1"/>
  <c r="S106" i="2" a="1"/>
  <c r="S106" i="2" s="1"/>
  <c r="T106" i="2" s="1" a="1"/>
  <c r="T106" i="2" s="1"/>
  <c r="S107" i="2" a="1"/>
  <c r="S107" i="2"/>
  <c r="T107" i="2" s="1" a="1"/>
  <c r="T107" i="2" s="1"/>
  <c r="S109" i="2" a="1"/>
  <c r="S109" i="2"/>
  <c r="T109" i="2" s="1" a="1"/>
  <c r="T109" i="2" s="1"/>
  <c r="S110" i="2" a="1"/>
  <c r="S110" i="2" s="1"/>
  <c r="T110" i="2" s="1" a="1"/>
  <c r="T110" i="2" s="1"/>
  <c r="S111" i="2" a="1"/>
  <c r="S111" i="2"/>
  <c r="T111" i="2" s="1" a="1"/>
  <c r="T111" i="2" s="1"/>
  <c r="S112" i="2" a="1"/>
  <c r="S112" i="2" s="1"/>
  <c r="T112" i="2" s="1" a="1"/>
  <c r="T112" i="2" s="1"/>
  <c r="S113" i="2" a="1"/>
  <c r="S113" i="2"/>
  <c r="T113" i="2" s="1" a="1"/>
  <c r="T113" i="2" s="1"/>
  <c r="S115" i="2" a="1"/>
  <c r="S115" i="2"/>
  <c r="T115" i="2" s="1" a="1"/>
  <c r="T115" i="2" s="1"/>
  <c r="S116" i="2" a="1"/>
  <c r="S116" i="2" s="1"/>
  <c r="T116" i="2" s="1" a="1"/>
  <c r="T116" i="2" s="1"/>
  <c r="S117" i="2" a="1"/>
  <c r="S117" i="2"/>
  <c r="T117" i="2" s="1" a="1"/>
  <c r="T117" i="2" s="1"/>
  <c r="S118" i="2" a="1"/>
  <c r="S118" i="2" s="1"/>
  <c r="T118" i="2" s="1" a="1"/>
  <c r="T118" i="2" s="1"/>
  <c r="S119" i="2" a="1"/>
  <c r="S119" i="2"/>
  <c r="T119" i="2" s="1" a="1"/>
  <c r="T119" i="2" s="1"/>
  <c r="S120" i="2" a="1"/>
  <c r="S120" i="2" s="1"/>
  <c r="T120" i="2" s="1" a="1"/>
  <c r="T120" i="2" s="1"/>
  <c r="S121" i="2" a="1"/>
  <c r="S121" i="2"/>
  <c r="T121" i="2" s="1" a="1"/>
  <c r="T121" i="2" s="1"/>
  <c r="S122" i="2" a="1"/>
  <c r="S122" i="2" s="1"/>
  <c r="T122" i="2" s="1" a="1"/>
  <c r="T122" i="2" s="1"/>
  <c r="S123" i="2" a="1"/>
  <c r="S123" i="2" s="1"/>
  <c r="T123" i="2" s="1" a="1"/>
  <c r="T123" i="2" s="1"/>
  <c r="S126" i="2" a="1"/>
  <c r="S126" i="2" s="1"/>
  <c r="T126" i="2" s="1" a="1"/>
  <c r="T126" i="2" s="1"/>
  <c r="T125" i="2" a="1"/>
  <c r="T125" i="2" s="1"/>
  <c r="S125" i="2" a="1"/>
  <c r="S125" i="2" s="1"/>
  <c r="S124" i="2" a="1"/>
  <c r="S124" i="2" s="1"/>
  <c r="T124" i="2" s="1" a="1"/>
  <c r="T124" i="2" s="1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D12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L94" i="2" s="1"/>
  <c r="G95" i="2"/>
  <c r="G96" i="2"/>
  <c r="G97" i="2"/>
  <c r="G98" i="2"/>
  <c r="G99" i="2"/>
  <c r="G100" i="2"/>
  <c r="G101" i="2"/>
  <c r="G102" i="2"/>
  <c r="L102" i="2" s="1"/>
  <c r="G103" i="2"/>
  <c r="G104" i="2"/>
  <c r="G105" i="2"/>
  <c r="G106" i="2"/>
  <c r="L106" i="2" s="1"/>
  <c r="G107" i="2"/>
  <c r="G108" i="2"/>
  <c r="G109" i="2"/>
  <c r="G110" i="2"/>
  <c r="L110" i="2" s="1"/>
  <c r="G111" i="2"/>
  <c r="G112" i="2"/>
  <c r="G113" i="2"/>
  <c r="G114" i="2"/>
  <c r="G115" i="2"/>
  <c r="G116" i="2"/>
  <c r="G117" i="2"/>
  <c r="G118" i="2"/>
  <c r="L118" i="2" s="1"/>
  <c r="G119" i="2"/>
  <c r="G120" i="2"/>
  <c r="G121" i="2"/>
  <c r="G122" i="2"/>
  <c r="L122" i="2" s="1"/>
  <c r="G123" i="2"/>
  <c r="G124" i="2"/>
  <c r="G125" i="2"/>
  <c r="G126" i="2"/>
  <c r="L126" i="2" s="1"/>
  <c r="G127" i="2"/>
  <c r="G128" i="2"/>
  <c r="G129" i="2"/>
  <c r="G130" i="2"/>
  <c r="G131" i="2"/>
  <c r="G132" i="2"/>
  <c r="G133" i="2"/>
  <c r="G134" i="2"/>
  <c r="L134" i="2" s="1"/>
  <c r="G135" i="2"/>
  <c r="G136" i="2"/>
  <c r="G137" i="2"/>
  <c r="G138" i="2"/>
  <c r="L138" i="2" s="1"/>
  <c r="G139" i="2"/>
  <c r="G140" i="2"/>
  <c r="G141" i="2"/>
  <c r="G142" i="2"/>
  <c r="L142" i="2" s="1"/>
  <c r="G143" i="2"/>
  <c r="G144" i="2"/>
  <c r="G145" i="2"/>
  <c r="G146" i="2"/>
  <c r="G147" i="2"/>
  <c r="G148" i="2"/>
  <c r="G149" i="2"/>
  <c r="G150" i="2"/>
  <c r="L150" i="2" s="1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L170" i="2" s="1"/>
  <c r="G171" i="2"/>
  <c r="G172" i="2"/>
  <c r="G173" i="2"/>
  <c r="G174" i="2"/>
  <c r="G175" i="2"/>
  <c r="G176" i="2"/>
  <c r="G177" i="2"/>
  <c r="G178" i="2"/>
  <c r="L178" i="2" s="1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L194" i="2" s="1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L214" i="2" s="1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L230" i="2" s="1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L246" i="2" s="1"/>
  <c r="G247" i="2"/>
  <c r="G248" i="2"/>
  <c r="G249" i="2"/>
  <c r="G250" i="2"/>
  <c r="G251" i="2"/>
  <c r="G252" i="2"/>
  <c r="G253" i="2"/>
  <c r="G254" i="2"/>
  <c r="G255" i="2"/>
  <c r="G256" i="2"/>
  <c r="G257" i="2"/>
  <c r="G258" i="2"/>
  <c r="G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L145" i="2" s="1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L161" i="2" s="1"/>
  <c r="I162" i="2"/>
  <c r="I163" i="2"/>
  <c r="I164" i="2"/>
  <c r="I165" i="2"/>
  <c r="I166" i="2"/>
  <c r="I167" i="2"/>
  <c r="I168" i="2"/>
  <c r="I169" i="2"/>
  <c r="L169" i="2" s="1"/>
  <c r="I170" i="2"/>
  <c r="I171" i="2"/>
  <c r="I172" i="2"/>
  <c r="I173" i="2"/>
  <c r="L173" i="2" s="1"/>
  <c r="I174" i="2"/>
  <c r="I175" i="2"/>
  <c r="I176" i="2"/>
  <c r="I177" i="2"/>
  <c r="I178" i="2"/>
  <c r="I179" i="2"/>
  <c r="I180" i="2"/>
  <c r="I181" i="2"/>
  <c r="L181" i="2" s="1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L197" i="2" s="1"/>
  <c r="I198" i="2"/>
  <c r="I199" i="2"/>
  <c r="I200" i="2"/>
  <c r="I201" i="2"/>
  <c r="I202" i="2"/>
  <c r="I203" i="2"/>
  <c r="I204" i="2"/>
  <c r="I205" i="2"/>
  <c r="L205" i="2" s="1"/>
  <c r="I206" i="2"/>
  <c r="I207" i="2"/>
  <c r="I208" i="2"/>
  <c r="I209" i="2"/>
  <c r="L209" i="2" s="1"/>
  <c r="I210" i="2"/>
  <c r="I211" i="2"/>
  <c r="I212" i="2"/>
  <c r="I213" i="2"/>
  <c r="I214" i="2"/>
  <c r="I215" i="2"/>
  <c r="I216" i="2"/>
  <c r="I217" i="2"/>
  <c r="L217" i="2" s="1"/>
  <c r="I218" i="2"/>
  <c r="I219" i="2"/>
  <c r="I220" i="2"/>
  <c r="I221" i="2"/>
  <c r="L221" i="2" s="1"/>
  <c r="I222" i="2"/>
  <c r="I223" i="2"/>
  <c r="I224" i="2"/>
  <c r="I225" i="2"/>
  <c r="I226" i="2"/>
  <c r="I227" i="2"/>
  <c r="I228" i="2"/>
  <c r="I229" i="2"/>
  <c r="I230" i="2"/>
  <c r="I231" i="2"/>
  <c r="I232" i="2"/>
  <c r="I233" i="2"/>
  <c r="L233" i="2" s="1"/>
  <c r="I234" i="2"/>
  <c r="I235" i="2"/>
  <c r="I236" i="2"/>
  <c r="I237" i="2"/>
  <c r="L237" i="2" s="1"/>
  <c r="I238" i="2"/>
  <c r="I239" i="2"/>
  <c r="I240" i="2"/>
  <c r="I241" i="2"/>
  <c r="I242" i="2"/>
  <c r="I243" i="2"/>
  <c r="I244" i="2"/>
  <c r="I245" i="2"/>
  <c r="I246" i="2"/>
  <c r="I247" i="2"/>
  <c r="I248" i="2"/>
  <c r="I249" i="2"/>
  <c r="L249" i="2" s="1"/>
  <c r="I250" i="2"/>
  <c r="I251" i="2"/>
  <c r="I252" i="2"/>
  <c r="I253" i="2"/>
  <c r="L253" i="2" s="1"/>
  <c r="I254" i="2"/>
  <c r="I255" i="2"/>
  <c r="I256" i="2"/>
  <c r="I257" i="2"/>
  <c r="I258" i="2"/>
  <c r="L149" i="2"/>
  <c r="L165" i="2"/>
  <c r="L177" i="2"/>
  <c r="L213" i="2"/>
  <c r="L229" i="2"/>
  <c r="L245" i="2"/>
  <c r="L225" i="2"/>
  <c r="L241" i="2"/>
  <c r="L257" i="2"/>
  <c r="I2" i="2"/>
  <c r="L203" i="2"/>
  <c r="L204" i="2"/>
  <c r="L207" i="2"/>
  <c r="L208" i="2"/>
  <c r="L211" i="2"/>
  <c r="L212" i="2"/>
  <c r="L215" i="2"/>
  <c r="L216" i="2"/>
  <c r="L219" i="2"/>
  <c r="L220" i="2"/>
  <c r="L223" i="2"/>
  <c r="L224" i="2"/>
  <c r="L227" i="2"/>
  <c r="L228" i="2"/>
  <c r="L231" i="2"/>
  <c r="L232" i="2"/>
  <c r="L235" i="2"/>
  <c r="L236" i="2"/>
  <c r="L239" i="2"/>
  <c r="L240" i="2"/>
  <c r="L243" i="2"/>
  <c r="L244" i="2"/>
  <c r="L247" i="2"/>
  <c r="L248" i="2"/>
  <c r="L251" i="2"/>
  <c r="L252" i="2"/>
  <c r="L255" i="2"/>
  <c r="L256" i="2"/>
  <c r="L199" i="2"/>
  <c r="L200" i="2"/>
  <c r="L148" i="2"/>
  <c r="L151" i="2"/>
  <c r="L152" i="2"/>
  <c r="L153" i="2"/>
  <c r="L155" i="2"/>
  <c r="L156" i="2"/>
  <c r="L157" i="2"/>
  <c r="L159" i="2"/>
  <c r="L160" i="2"/>
  <c r="L163" i="2"/>
  <c r="L164" i="2"/>
  <c r="L167" i="2"/>
  <c r="L168" i="2"/>
  <c r="L171" i="2"/>
  <c r="L172" i="2"/>
  <c r="L175" i="2"/>
  <c r="L176" i="2"/>
  <c r="L179" i="2"/>
  <c r="L180" i="2"/>
  <c r="L183" i="2"/>
  <c r="L184" i="2"/>
  <c r="L185" i="2"/>
  <c r="L187" i="2"/>
  <c r="L188" i="2"/>
  <c r="L189" i="2"/>
  <c r="L191" i="2"/>
  <c r="L192" i="2"/>
  <c r="L84" i="2"/>
  <c r="L144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76" i="2"/>
  <c r="B83" i="2"/>
  <c r="B67" i="2"/>
  <c r="B68" i="2"/>
  <c r="B69" i="2"/>
  <c r="B70" i="2"/>
  <c r="B71" i="2"/>
  <c r="B72" i="2"/>
  <c r="B73" i="2"/>
  <c r="B74" i="2"/>
  <c r="B75" i="2"/>
  <c r="B91" i="2"/>
  <c r="B193" i="2"/>
  <c r="B77" i="2"/>
  <c r="B79" i="2"/>
  <c r="B201" i="2"/>
  <c r="B81" i="2"/>
  <c r="B78" i="2"/>
  <c r="B195" i="2"/>
  <c r="B85" i="2"/>
  <c r="B86" i="2"/>
  <c r="B87" i="2"/>
  <c r="B88" i="2"/>
  <c r="B196" i="2"/>
  <c r="B139" i="2"/>
  <c r="B89" i="2"/>
  <c r="B198" i="2"/>
  <c r="B82" i="2"/>
  <c r="B90" i="2"/>
  <c r="B80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40" i="2"/>
  <c r="B141" i="2"/>
  <c r="B142" i="2"/>
  <c r="B143" i="2"/>
  <c r="B144" i="2"/>
  <c r="B146" i="2"/>
  <c r="B147" i="2"/>
  <c r="B2" i="2"/>
  <c r="B149" i="2"/>
  <c r="B145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84" i="2"/>
  <c r="B194" i="2"/>
  <c r="B66" i="2"/>
  <c r="B197" i="2"/>
  <c r="B199" i="2"/>
  <c r="B200" i="2"/>
  <c r="B148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C2" i="2"/>
  <c r="D2" i="2" s="1"/>
  <c r="L91" i="2"/>
  <c r="L193" i="2"/>
  <c r="L5" i="2"/>
  <c r="L9" i="2"/>
  <c r="L13" i="2"/>
  <c r="L17" i="2"/>
  <c r="L21" i="2"/>
  <c r="L25" i="2"/>
  <c r="L29" i="2"/>
  <c r="L33" i="2"/>
  <c r="L37" i="2"/>
  <c r="L41" i="2"/>
  <c r="L45" i="2"/>
  <c r="L49" i="2"/>
  <c r="L53" i="2"/>
  <c r="L57" i="2"/>
  <c r="L61" i="2"/>
  <c r="L65" i="2"/>
  <c r="L69" i="2"/>
  <c r="L73" i="2"/>
  <c r="L76" i="2"/>
  <c r="L77" i="2"/>
  <c r="L81" i="2"/>
  <c r="L85" i="2"/>
  <c r="L89" i="2"/>
  <c r="L98" i="2"/>
  <c r="L114" i="2"/>
  <c r="L130" i="2"/>
  <c r="L146" i="2"/>
  <c r="L195" i="2"/>
  <c r="L258" i="2" l="1"/>
  <c r="L254" i="2"/>
  <c r="L250" i="2"/>
  <c r="L242" i="2"/>
  <c r="L238" i="2"/>
  <c r="L234" i="2"/>
  <c r="L226" i="2"/>
  <c r="L222" i="2"/>
  <c r="L218" i="2"/>
  <c r="L210" i="2"/>
  <c r="L206" i="2"/>
  <c r="L202" i="2"/>
  <c r="L190" i="2"/>
  <c r="L186" i="2"/>
  <c r="L182" i="2"/>
  <c r="L174" i="2"/>
  <c r="L166" i="2"/>
  <c r="L162" i="2"/>
  <c r="L158" i="2"/>
  <c r="L154" i="2"/>
  <c r="L34" i="2"/>
  <c r="L90" i="2"/>
  <c r="L62" i="2"/>
  <c r="L30" i="2"/>
  <c r="L201" i="2"/>
  <c r="L66" i="2"/>
  <c r="L143" i="2"/>
  <c r="L50" i="2"/>
  <c r="L46" i="2"/>
  <c r="L18" i="2"/>
  <c r="L14" i="2"/>
  <c r="L198" i="2"/>
  <c r="L137" i="2"/>
  <c r="L129" i="2"/>
  <c r="L121" i="2"/>
  <c r="L113" i="2"/>
  <c r="L105" i="2"/>
  <c r="L97" i="2"/>
  <c r="L88" i="2"/>
  <c r="L68" i="2"/>
  <c r="L56" i="2"/>
  <c r="L48" i="2"/>
  <c r="L141" i="2"/>
  <c r="L133" i="2"/>
  <c r="L125" i="2"/>
  <c r="L117" i="2"/>
  <c r="L109" i="2"/>
  <c r="L101" i="2"/>
  <c r="L93" i="2"/>
  <c r="L80" i="2"/>
  <c r="L72" i="2"/>
  <c r="L64" i="2"/>
  <c r="L60" i="2"/>
  <c r="L52" i="2"/>
  <c r="L44" i="2"/>
  <c r="L36" i="2"/>
  <c r="L24" i="2"/>
  <c r="L16" i="2"/>
  <c r="L8" i="2"/>
  <c r="L136" i="2"/>
  <c r="L128" i="2"/>
  <c r="L120" i="2"/>
  <c r="L112" i="2"/>
  <c r="L104" i="2"/>
  <c r="L96" i="2"/>
  <c r="L87" i="2"/>
  <c r="L79" i="2"/>
  <c r="L71" i="2"/>
  <c r="L63" i="2"/>
  <c r="L55" i="2"/>
  <c r="L47" i="2"/>
  <c r="L39" i="2"/>
  <c r="L31" i="2"/>
  <c r="L23" i="2"/>
  <c r="L11" i="2"/>
  <c r="L3" i="2"/>
  <c r="L40" i="2"/>
  <c r="L32" i="2"/>
  <c r="L28" i="2"/>
  <c r="L20" i="2"/>
  <c r="L12" i="2"/>
  <c r="L4" i="2"/>
  <c r="L140" i="2"/>
  <c r="L132" i="2"/>
  <c r="L124" i="2"/>
  <c r="L116" i="2"/>
  <c r="L108" i="2"/>
  <c r="L100" i="2"/>
  <c r="L92" i="2"/>
  <c r="L83" i="2"/>
  <c r="L75" i="2"/>
  <c r="L67" i="2"/>
  <c r="L59" i="2"/>
  <c r="L51" i="2"/>
  <c r="L43" i="2"/>
  <c r="L35" i="2"/>
  <c r="L27" i="2"/>
  <c r="L19" i="2"/>
  <c r="L15" i="2"/>
  <c r="L7" i="2"/>
  <c r="L196" i="2"/>
  <c r="L147" i="2"/>
  <c r="L139" i="2"/>
  <c r="L135" i="2"/>
  <c r="L131" i="2"/>
  <c r="L127" i="2"/>
  <c r="L123" i="2"/>
  <c r="L119" i="2"/>
  <c r="L115" i="2"/>
  <c r="L111" i="2"/>
  <c r="L107" i="2"/>
  <c r="L103" i="2"/>
  <c r="L99" i="2"/>
  <c r="L95" i="2"/>
  <c r="L86" i="2"/>
  <c r="L82" i="2"/>
  <c r="L78" i="2"/>
  <c r="L74" i="2"/>
  <c r="L70" i="2"/>
  <c r="L58" i="2"/>
  <c r="L54" i="2"/>
  <c r="L42" i="2"/>
  <c r="L38" i="2"/>
  <c r="L26" i="2"/>
  <c r="L22" i="2"/>
  <c r="L10" i="2"/>
  <c r="L6" i="2"/>
  <c r="J204" i="2"/>
  <c r="J215" i="2"/>
  <c r="J201" i="2"/>
  <c r="J219" i="2"/>
  <c r="J207" i="2"/>
  <c r="J258" i="2"/>
  <c r="J254" i="2"/>
  <c r="J250" i="2"/>
  <c r="J246" i="2"/>
  <c r="J242" i="2"/>
  <c r="J238" i="2"/>
  <c r="J234" i="2"/>
  <c r="J230" i="2"/>
  <c r="J226" i="2"/>
  <c r="J223" i="2"/>
  <c r="J211" i="2"/>
  <c r="J243" i="2"/>
  <c r="J200" i="2"/>
  <c r="J196" i="2"/>
  <c r="J192" i="2"/>
  <c r="J188" i="2"/>
  <c r="J184" i="2"/>
  <c r="J180" i="2"/>
  <c r="J176" i="2"/>
  <c r="J257" i="2"/>
  <c r="J253" i="2"/>
  <c r="J249" i="2"/>
  <c r="J245" i="2"/>
  <c r="J241" i="2"/>
  <c r="J237" i="2"/>
  <c r="J233" i="2"/>
  <c r="J229" i="2"/>
  <c r="J172" i="2"/>
  <c r="J165" i="2"/>
  <c r="J161" i="2"/>
  <c r="J157" i="2"/>
  <c r="J153" i="2"/>
  <c r="J146" i="2"/>
  <c r="J142" i="2"/>
  <c r="J138" i="2"/>
  <c r="J134" i="2"/>
  <c r="J130" i="2"/>
  <c r="J126" i="2"/>
  <c r="J122" i="2"/>
  <c r="J118" i="2"/>
  <c r="J114" i="2"/>
  <c r="J110" i="2"/>
  <c r="J106" i="2"/>
  <c r="J102" i="2"/>
  <c r="J98" i="2"/>
  <c r="J94" i="2"/>
  <c r="J91" i="2"/>
  <c r="J89" i="2"/>
  <c r="J87" i="2"/>
  <c r="J83" i="2"/>
  <c r="J79" i="2"/>
  <c r="J256" i="2"/>
  <c r="J252" i="2"/>
  <c r="J248" i="2"/>
  <c r="J255" i="2"/>
  <c r="J251" i="2"/>
  <c r="J247" i="2"/>
  <c r="J239" i="2"/>
  <c r="J235" i="2"/>
  <c r="J231" i="2"/>
  <c r="J244" i="2"/>
  <c r="J240" i="2"/>
  <c r="J236" i="2"/>
  <c r="J232" i="2"/>
  <c r="J197" i="2"/>
  <c r="J193" i="2"/>
  <c r="J189" i="2"/>
  <c r="J185" i="2"/>
  <c r="J181" i="2"/>
  <c r="J177" i="2"/>
  <c r="J173" i="2"/>
  <c r="J169" i="2"/>
  <c r="J166" i="2"/>
  <c r="J162" i="2"/>
  <c r="J158" i="2"/>
  <c r="J154" i="2"/>
  <c r="J150" i="2"/>
  <c r="J147" i="2"/>
  <c r="J143" i="2"/>
  <c r="J139" i="2"/>
  <c r="J135" i="2"/>
  <c r="J131" i="2"/>
  <c r="J127" i="2"/>
  <c r="J123" i="2"/>
  <c r="J119" i="2"/>
  <c r="J115" i="2"/>
  <c r="J111" i="2"/>
  <c r="J107" i="2"/>
  <c r="J103" i="2"/>
  <c r="J99" i="2"/>
  <c r="J95" i="2"/>
  <c r="J88" i="2"/>
  <c r="J84" i="2"/>
  <c r="J80" i="2"/>
  <c r="J76" i="2"/>
  <c r="J73" i="2"/>
  <c r="J69" i="2"/>
  <c r="J62" i="2"/>
  <c r="J58" i="2"/>
  <c r="J54" i="2"/>
  <c r="J50" i="2"/>
  <c r="J46" i="2"/>
  <c r="J42" i="2"/>
  <c r="J38" i="2"/>
  <c r="J34" i="2"/>
  <c r="J30" i="2"/>
  <c r="J26" i="2"/>
  <c r="J22" i="2"/>
  <c r="J18" i="2"/>
  <c r="J14" i="2"/>
  <c r="J10" i="2"/>
  <c r="J6" i="2"/>
  <c r="J227" i="2"/>
  <c r="J220" i="2"/>
  <c r="J216" i="2"/>
  <c r="J212" i="2"/>
  <c r="J208" i="2"/>
  <c r="J205" i="2"/>
  <c r="J225" i="2"/>
  <c r="J222" i="2"/>
  <c r="J218" i="2"/>
  <c r="J214" i="2"/>
  <c r="J210" i="2"/>
  <c r="J203" i="2"/>
  <c r="J199" i="2"/>
  <c r="J195" i="2"/>
  <c r="J191" i="2"/>
  <c r="J187" i="2"/>
  <c r="J183" i="2"/>
  <c r="J179" i="2"/>
  <c r="J175" i="2"/>
  <c r="J171" i="2"/>
  <c r="J168" i="2"/>
  <c r="J164" i="2"/>
  <c r="J160" i="2"/>
  <c r="J156" i="2"/>
  <c r="J152" i="2"/>
  <c r="J149" i="2"/>
  <c r="J145" i="2"/>
  <c r="J141" i="2"/>
  <c r="J137" i="2"/>
  <c r="J133" i="2"/>
  <c r="J129" i="2"/>
  <c r="J125" i="2"/>
  <c r="J121" i="2"/>
  <c r="J117" i="2"/>
  <c r="J113" i="2"/>
  <c r="J109" i="2"/>
  <c r="J105" i="2"/>
  <c r="J101" i="2"/>
  <c r="J97" i="2"/>
  <c r="J93" i="2"/>
  <c r="J90" i="2"/>
  <c r="J86" i="2"/>
  <c r="J82" i="2"/>
  <c r="J78" i="2"/>
  <c r="J75" i="2"/>
  <c r="J71" i="2"/>
  <c r="J67" i="2"/>
  <c r="J64" i="2"/>
  <c r="J228" i="2"/>
  <c r="J224" i="2"/>
  <c r="J221" i="2"/>
  <c r="J217" i="2"/>
  <c r="J213" i="2"/>
  <c r="J209" i="2"/>
  <c r="J206" i="2"/>
  <c r="J202" i="2"/>
  <c r="J198" i="2"/>
  <c r="J194" i="2"/>
  <c r="J190" i="2"/>
  <c r="J186" i="2"/>
  <c r="J182" i="2"/>
  <c r="J178" i="2"/>
  <c r="J174" i="2"/>
  <c r="J170" i="2"/>
  <c r="J167" i="2"/>
  <c r="J163" i="2"/>
  <c r="J159" i="2"/>
  <c r="J155" i="2"/>
  <c r="J151" i="2"/>
  <c r="J148" i="2"/>
  <c r="J144" i="2"/>
  <c r="J140" i="2"/>
  <c r="J136" i="2"/>
  <c r="J132" i="2"/>
  <c r="J128" i="2"/>
  <c r="J124" i="2"/>
  <c r="J120" i="2"/>
  <c r="J116" i="2"/>
  <c r="J112" i="2"/>
  <c r="J108" i="2"/>
  <c r="J104" i="2"/>
  <c r="J100" i="2"/>
  <c r="J96" i="2"/>
  <c r="J92" i="2"/>
  <c r="J85" i="2"/>
  <c r="J81" i="2"/>
  <c r="J77" i="2"/>
  <c r="J74" i="2"/>
  <c r="J70" i="2"/>
  <c r="J66" i="2"/>
  <c r="J63" i="2"/>
  <c r="J59" i="2"/>
  <c r="J55" i="2"/>
  <c r="J51" i="2"/>
  <c r="J47" i="2"/>
  <c r="J43" i="2"/>
  <c r="J39" i="2"/>
  <c r="J35" i="2"/>
  <c r="J31" i="2"/>
  <c r="J27" i="2"/>
  <c r="J23" i="2"/>
  <c r="J19" i="2"/>
  <c r="J15" i="2"/>
  <c r="J11" i="2"/>
  <c r="J7" i="2"/>
  <c r="J3" i="2"/>
  <c r="J60" i="2"/>
  <c r="J56" i="2"/>
  <c r="J52" i="2"/>
  <c r="J48" i="2"/>
  <c r="J44" i="2"/>
  <c r="J40" i="2"/>
  <c r="J36" i="2"/>
  <c r="J32" i="2"/>
  <c r="J28" i="2"/>
  <c r="J24" i="2"/>
  <c r="J20" i="2"/>
  <c r="J16" i="2"/>
  <c r="J12" i="2"/>
  <c r="J8" i="2"/>
  <c r="J4" i="2"/>
  <c r="J72" i="2"/>
  <c r="J68" i="2"/>
  <c r="J65" i="2"/>
  <c r="J61" i="2"/>
  <c r="J57" i="2"/>
  <c r="J53" i="2"/>
  <c r="J49" i="2"/>
  <c r="J45" i="2"/>
  <c r="J41" i="2"/>
  <c r="J37" i="2"/>
  <c r="J33" i="2"/>
  <c r="J29" i="2"/>
  <c r="J25" i="2"/>
  <c r="J21" i="2"/>
  <c r="J17" i="2"/>
  <c r="J13" i="2"/>
  <c r="J9" i="2"/>
  <c r="J5" i="2"/>
  <c r="L2" i="2" l="1"/>
  <c r="J2" i="2"/>
  <c r="K9" i="2" s="1"/>
  <c r="K201" i="2" l="1"/>
  <c r="K126" i="2"/>
  <c r="K36" i="2"/>
  <c r="K62" i="2"/>
  <c r="K32" i="2"/>
  <c r="K145" i="2"/>
  <c r="K129" i="2"/>
  <c r="K231" i="2"/>
  <c r="K239" i="2"/>
  <c r="K202" i="2"/>
  <c r="K184" i="2"/>
  <c r="K96" i="2"/>
  <c r="K114" i="2"/>
  <c r="K73" i="2"/>
  <c r="K188" i="2"/>
  <c r="K110" i="2"/>
  <c r="K203" i="2"/>
  <c r="K109" i="2"/>
  <c r="K190" i="2"/>
  <c r="K20" i="2"/>
  <c r="K43" i="2"/>
  <c r="K42" i="2"/>
  <c r="K84" i="2"/>
  <c r="K16" i="2"/>
  <c r="K98" i="2"/>
  <c r="K116" i="2"/>
  <c r="K162" i="2"/>
  <c r="K86" i="2"/>
  <c r="K85" i="2"/>
  <c r="K220" i="2"/>
  <c r="K71" i="2"/>
  <c r="K151" i="2"/>
  <c r="K75" i="2"/>
  <c r="K195" i="2"/>
  <c r="K134" i="2"/>
  <c r="K258" i="2"/>
  <c r="K14" i="2"/>
  <c r="K15" i="2"/>
  <c r="K169" i="2"/>
  <c r="K217" i="2"/>
  <c r="K137" i="2"/>
  <c r="K79" i="2"/>
  <c r="K200" i="2"/>
  <c r="K29" i="2"/>
  <c r="K26" i="2"/>
  <c r="K80" i="2"/>
  <c r="K176" i="2"/>
  <c r="K166" i="2"/>
  <c r="K204" i="2"/>
  <c r="K125" i="2"/>
  <c r="K143" i="2"/>
  <c r="K154" i="2"/>
  <c r="K112" i="2"/>
  <c r="K136" i="2"/>
  <c r="K118" i="2"/>
  <c r="K18" i="2"/>
  <c r="K121" i="2"/>
  <c r="K158" i="2"/>
  <c r="K172" i="2"/>
  <c r="K83" i="2"/>
  <c r="K187" i="2"/>
  <c r="K67" i="2"/>
  <c r="K144" i="2"/>
  <c r="K124" i="2"/>
  <c r="K193" i="2"/>
  <c r="K37" i="2"/>
  <c r="K33" i="2"/>
  <c r="K97" i="2"/>
  <c r="K11" i="2"/>
  <c r="K207" i="2"/>
  <c r="K44" i="2"/>
  <c r="K212" i="2"/>
  <c r="K192" i="2"/>
  <c r="K56" i="2"/>
  <c r="K198" i="2"/>
  <c r="K117" i="2"/>
  <c r="K245" i="2"/>
  <c r="K180" i="2"/>
  <c r="K189" i="2"/>
  <c r="K216" i="2"/>
  <c r="K77" i="2"/>
  <c r="K140" i="2"/>
  <c r="K64" i="2"/>
  <c r="K183" i="2"/>
  <c r="K122" i="2"/>
  <c r="K246" i="2"/>
  <c r="K208" i="2"/>
  <c r="K41" i="2"/>
  <c r="K256" i="2"/>
  <c r="K173" i="2"/>
  <c r="K74" i="2"/>
  <c r="K237" i="2"/>
  <c r="K206" i="2"/>
  <c r="K63" i="2"/>
  <c r="K161" i="2"/>
  <c r="K10" i="2"/>
  <c r="K147" i="2"/>
  <c r="K179" i="2"/>
  <c r="K242" i="2"/>
  <c r="K107" i="2"/>
  <c r="K249" i="2"/>
  <c r="K45" i="2"/>
  <c r="K250" i="2"/>
  <c r="K234" i="2"/>
  <c r="K142" i="2"/>
  <c r="K253" i="2"/>
  <c r="K171" i="2"/>
  <c r="K252" i="2"/>
  <c r="K128" i="2"/>
  <c r="K108" i="2"/>
  <c r="K197" i="2"/>
  <c r="K131" i="2"/>
  <c r="K21" i="2"/>
  <c r="K17" i="2"/>
  <c r="K240" i="2"/>
  <c r="K227" i="2"/>
  <c r="K146" i="2"/>
  <c r="K28" i="2"/>
  <c r="K130" i="2"/>
  <c r="K40" i="2"/>
  <c r="K213" i="2"/>
  <c r="K133" i="2"/>
  <c r="K196" i="2"/>
  <c r="K251" i="2"/>
  <c r="K119" i="2"/>
  <c r="K155" i="2"/>
  <c r="K78" i="2"/>
  <c r="K199" i="2"/>
  <c r="K138" i="2"/>
  <c r="K233" i="2"/>
  <c r="K150" i="2"/>
  <c r="K25" i="2"/>
  <c r="K113" i="2"/>
  <c r="K99" i="2"/>
  <c r="K100" i="2"/>
  <c r="K219" i="2"/>
  <c r="K157" i="2"/>
  <c r="K94" i="2"/>
  <c r="K218" i="2"/>
  <c r="K156" i="2"/>
  <c r="K93" i="2"/>
  <c r="K236" i="2"/>
  <c r="K174" i="2"/>
  <c r="K23" i="2"/>
  <c r="K4" i="2"/>
  <c r="K92" i="2"/>
  <c r="K19" i="2"/>
  <c r="K135" i="2"/>
  <c r="K22" i="2"/>
  <c r="K68" i="2"/>
  <c r="K5" i="2"/>
  <c r="K65" i="2"/>
  <c r="K60" i="2"/>
  <c r="K222" i="2"/>
  <c r="K178" i="2"/>
  <c r="K103" i="2"/>
  <c r="K235" i="2"/>
  <c r="K87" i="2"/>
  <c r="K224" i="2"/>
  <c r="K12" i="2"/>
  <c r="K47" i="2"/>
  <c r="K46" i="2"/>
  <c r="K95" i="2"/>
  <c r="K257" i="2"/>
  <c r="K209" i="2"/>
  <c r="K24" i="2"/>
  <c r="K167" i="2"/>
  <c r="K228" i="2"/>
  <c r="K149" i="2"/>
  <c r="K210" i="2"/>
  <c r="K89" i="2"/>
  <c r="K211" i="2"/>
  <c r="K247" i="2"/>
  <c r="K115" i="2"/>
  <c r="K38" i="2"/>
  <c r="K181" i="2"/>
  <c r="K35" i="2"/>
  <c r="K104" i="2"/>
  <c r="K7" i="2"/>
  <c r="K170" i="2"/>
  <c r="K232" i="2"/>
  <c r="K90" i="2"/>
  <c r="K152" i="2"/>
  <c r="K214" i="2"/>
  <c r="K91" i="2"/>
  <c r="K153" i="2"/>
  <c r="K215" i="2"/>
  <c r="K8" i="2"/>
  <c r="K13" i="2"/>
  <c r="K88" i="2"/>
  <c r="K72" i="2"/>
  <c r="K27" i="2"/>
  <c r="K132" i="2"/>
  <c r="K175" i="2"/>
  <c r="K238" i="2"/>
  <c r="K34" i="2"/>
  <c r="K141" i="2"/>
  <c r="K82" i="2"/>
  <c r="K221" i="2"/>
  <c r="K159" i="2"/>
  <c r="K52" i="2"/>
  <c r="K123" i="2"/>
  <c r="K81" i="2"/>
  <c r="K2" i="2"/>
  <c r="K76" i="2"/>
  <c r="K255" i="2"/>
  <c r="K205" i="2"/>
  <c r="K53" i="2"/>
  <c r="K48" i="2"/>
  <c r="K49" i="2"/>
  <c r="K223" i="2"/>
  <c r="K160" i="2"/>
  <c r="K39" i="2"/>
  <c r="K51" i="2"/>
  <c r="K54" i="2"/>
  <c r="K111" i="2"/>
  <c r="K163" i="2"/>
  <c r="K139" i="2"/>
  <c r="K3" i="2"/>
  <c r="K6" i="2"/>
  <c r="K254" i="2"/>
  <c r="K191" i="2"/>
  <c r="K148" i="2"/>
  <c r="K55" i="2"/>
  <c r="K182" i="2"/>
  <c r="K244" i="2"/>
  <c r="K101" i="2"/>
  <c r="K164" i="2"/>
  <c r="K225" i="2"/>
  <c r="K102" i="2"/>
  <c r="K165" i="2"/>
  <c r="K226" i="2"/>
  <c r="K127" i="2"/>
  <c r="K177" i="2"/>
  <c r="K58" i="2"/>
  <c r="K243" i="2"/>
  <c r="K59" i="2"/>
  <c r="K120" i="2"/>
  <c r="K70" i="2"/>
  <c r="K186" i="2"/>
  <c r="K248" i="2"/>
  <c r="K105" i="2"/>
  <c r="K168" i="2"/>
  <c r="K229" i="2"/>
  <c r="K106" i="2"/>
  <c r="K230" i="2"/>
  <c r="K61" i="2"/>
  <c r="K50" i="2"/>
  <c r="K69" i="2"/>
  <c r="K57" i="2"/>
  <c r="K66" i="2"/>
  <c r="K194" i="2"/>
  <c r="K241" i="2"/>
  <c r="K185" i="2"/>
  <c r="K30" i="2"/>
  <c r="K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tc={6646AD94-D707-48AE-999A-6D4344160DC3}</author>
    <author>tc={1A97B236-81DF-43E1-8C39-B6618968E62A}</author>
    <author>tc={D37BFC4F-E385-41CB-96CD-2128240D2022}</author>
    <author>tc={11591510-70D4-44B4-BD93-94281A4D97F9}</author>
    <author>tc={3DFB4810-6B1B-460A-82D7-09D94E9932AF}</author>
    <author>tc={67BA669A-58AD-488D-815C-D79960DA7B26}</author>
    <author>tc={B337E0DE-A823-46B0-A8BC-59C254E75287}</author>
    <author>tc={7F75CF89-F51B-4713-8324-FBB9D5C83528}</author>
    <author>tc={F93ED7DD-137A-4562-B6A5-D3AD6FA9EA17}</author>
    <author>tc={DBC5CED7-EA13-4785-AE1E-8EB8BFEEB764}</author>
    <author>tc={2629C18A-0F29-492B-AF6A-77E27475AB7D}</author>
    <author>tc={467065BB-92D2-4D30-ADAA-3FA2130FE3BA}</author>
    <author>tc={B19C8BD6-CA1B-4428-B427-1C4E90275172}</author>
  </authors>
  <commentList>
    <comment ref="C29" authorId="0" shapeId="0" xr:uid="{6646AD94-D707-48AE-999A-6D4344160DC3}">
      <text>
        <t>[Threaded comment]
Your version of Excel allows you to read this threaded comment; however, any edits to it will get removed if the file is opened in a newer version of Excel. Learn more: https://go.microsoft.com/fwlink/?linkid=870924
Comment:
    CA2 score &gt;&gt; 20 causing the total score to be &gt; 100.</t>
      </text>
    </comment>
    <comment ref="C76" authorId="1" shapeId="0" xr:uid="{1A97B236-81DF-43E1-8C39-B6618968E6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Exam score value was NILL which could indicate that the student didn’t take the exam.
It was changed to 0 to perform a calculation on grade and remark.
However further questions should be asked. </t>
      </text>
    </comment>
    <comment ref="C83" authorId="2" shapeId="0" xr:uid="{D37BFC4F-E385-41CB-96CD-2128240D2022}">
      <text>
        <t>[Threaded comment]
Your version of Excel allows you to read this threaded comment; however, any edits to it will get removed if the file is opened in a newer version of Excel. Learn more: https://go.microsoft.com/fwlink/?linkid=870924
Comment:
    3 Duplicate values for Aisha Musa,  Deletion isn’t an option since the score columns have different values. More Information needed</t>
      </text>
    </comment>
    <comment ref="C91" authorId="3" shapeId="0" xr:uid="{11591510-70D4-44B4-BD93-94281A4D97F9}">
      <text>
        <t>[Threaded comment]
Your version of Excel allows you to read this threaded comment; however, any edits to it will get removed if the file is opened in a newer version of Excel. Learn more: https://go.microsoft.com/fwlink/?linkid=870924
Comment:
    3 Duplicate values for Aisha Musa,  Deletion isn’t an option since the score columns have different values. More Information needed</t>
      </text>
    </comment>
    <comment ref="C124" authorId="4" shapeId="0" xr:uid="{3DFB4810-6B1B-460A-82D7-09D94E9932AF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Scores are not intelligible, total, grade and remark cannot be generated.</t>
      </text>
    </comment>
    <comment ref="C125" authorId="5" shapeId="0" xr:uid="{67BA669A-58AD-488D-815C-D79960DA7B26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Scores are not intelligible, total, grade and remark cannot be generated.</t>
      </text>
    </comment>
    <comment ref="C139" authorId="6" shapeId="0" xr:uid="{B337E0DE-A823-46B0-A8BC-59C254E75287}">
      <text>
        <t>[Threaded comment]
Your version of Excel allows you to read this threaded comment; however, any edits to it will get removed if the file is opened in a newer version of Excel. Learn more: https://go.microsoft.com/fwlink/?linkid=870924
Comment:
    4 duplicate entries for Dorcas Haggai. The score columns are different which makes it difficult to delete. More information needed.</t>
      </text>
    </comment>
    <comment ref="C193" authorId="7" shapeId="0" xr:uid="{7F75CF89-F51B-4713-8324-FBB9D5C83528}">
      <text>
        <t>[Threaded comment]
Your version of Excel allows you to read this threaded comment; however, any edits to it will get removed if the file is opened in a newer version of Excel. Learn more: https://go.microsoft.com/fwlink/?linkid=870924
Comment:
    3 Duplicate values for Aisha Musa,  Deletion isn’t an option since the score columns have different values. More Information needed</t>
      </text>
    </comment>
    <comment ref="C195" authorId="8" shapeId="0" xr:uid="{F93ED7DD-137A-4562-B6A5-D3AD6FA9EA17}">
      <text>
        <t>[Threaded comment]
Your version of Excel allows you to read this threaded comment; however, any edits to it will get removed if the file is opened in a newer version of Excel. Learn more: https://go.microsoft.com/fwlink/?linkid=870924
Comment:
    4 duplicate entries for Dorcas Haggai. The score columns are different which makes it difficult to delete. More information needed.</t>
      </text>
    </comment>
    <comment ref="C196" authorId="9" shapeId="0" xr:uid="{DBC5CED7-EA13-4785-AE1E-8EB8BFEEB764}">
      <text>
        <t>[Threaded comment]
Your version of Excel allows you to read this threaded comment; however, any edits to it will get removed if the file is opened in a newer version of Excel. Learn more: https://go.microsoft.com/fwlink/?linkid=870924
Comment:
    4 duplicate entries for Dorcas Haggai. The score columns are different which makes it difficult to delete. More information needed.</t>
      </text>
    </comment>
    <comment ref="C198" authorId="10" shapeId="0" xr:uid="{2629C18A-0F29-492B-AF6A-77E27475AB7D}">
      <text>
        <t>[Threaded comment]
Your version of Excel allows you to read this threaded comment; however, any edits to it will get removed if the file is opened in a newer version of Excel. Learn more: https://go.microsoft.com/fwlink/?linkid=870924
Comment:
    4 duplicate entries for Dorcas Haggai. The score columns are different which makes it difficult to delete. More information needed.</t>
      </text>
    </comment>
    <comment ref="C209" authorId="11" shapeId="0" xr:uid="{467065BB-92D2-4D30-ADAA-3FA2130FE3BA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Name was entered as 18. This was deleted but further clarification is needed.</t>
      </text>
    </comment>
    <comment ref="C229" authorId="12" shapeId="0" xr:uid="{B19C8BD6-CA1B-4428-B427-1C4E90275172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Scores are not intelligible, total, grade and remark cannot be generated.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<sst xmlns="http://schemas.openxmlformats.org/spreadsheetml/2006/main" count="2675" uniqueCount="780">
  <si>
    <t>Timestamp</t>
  </si>
  <si>
    <t>Username</t>
  </si>
  <si>
    <t>First Name</t>
  </si>
  <si>
    <t>Last Name</t>
  </si>
  <si>
    <t>Gender</t>
  </si>
  <si>
    <t>Score in CAT 1</t>
  </si>
  <si>
    <t>Score in CAT 2</t>
  </si>
  <si>
    <t>Score in Exam</t>
  </si>
  <si>
    <t>2024/09/07 9:54:36 AM GMT+1</t>
  </si>
  <si>
    <t>ejioforkenneth08@gmail.com</t>
  </si>
  <si>
    <t>Jane</t>
  </si>
  <si>
    <t>Aruna</t>
  </si>
  <si>
    <t>Female</t>
  </si>
  <si>
    <t>2024/09/07 10:08:37 AM GMT+1</t>
  </si>
  <si>
    <t>amaranacho@gmail.com</t>
  </si>
  <si>
    <t xml:space="preserve">Grace </t>
  </si>
  <si>
    <t>Havens</t>
  </si>
  <si>
    <t xml:space="preserve">Female </t>
  </si>
  <si>
    <t>2024/09/07 10:09:08 AM GMT+1</t>
  </si>
  <si>
    <t xml:space="preserve">Michael </t>
  </si>
  <si>
    <t>Usoro</t>
  </si>
  <si>
    <t>Male</t>
  </si>
  <si>
    <t>2024/09/07 10:09:46 AM GMT+1</t>
  </si>
  <si>
    <t>Zainab</t>
  </si>
  <si>
    <t>Hameed</t>
  </si>
  <si>
    <t>2024/09/07 10:10:15 AM GMT+1</t>
  </si>
  <si>
    <t>Ugo</t>
  </si>
  <si>
    <t>Igwe</t>
  </si>
  <si>
    <t>2024/09/07 10:11:40 AM GMT+1</t>
  </si>
  <si>
    <t>Ade</t>
  </si>
  <si>
    <t>Lawani</t>
  </si>
  <si>
    <t>2024/09/07 11:17:15 AM GMT+1</t>
  </si>
  <si>
    <t>adekola1440@gmail.com</t>
  </si>
  <si>
    <t>BEN</t>
  </si>
  <si>
    <t>DUMBARI</t>
  </si>
  <si>
    <t>MALE</t>
  </si>
  <si>
    <t>2024/09/07 11:27:34 AM GMT+1</t>
  </si>
  <si>
    <t>MUSA</t>
  </si>
  <si>
    <t>ALIYU</t>
  </si>
  <si>
    <t>2024/09/07 11:28:15 AM GMT+1</t>
  </si>
  <si>
    <t>KEN</t>
  </si>
  <si>
    <t>NWACHUKWU</t>
  </si>
  <si>
    <t>FEMALE</t>
  </si>
  <si>
    <t>2024/09/07 11:29:15 AM GMT+1</t>
  </si>
  <si>
    <t>ADEOLA</t>
  </si>
  <si>
    <t>TAIWO</t>
  </si>
  <si>
    <t>2024/09/07 11:29:53 AM GMT+1</t>
  </si>
  <si>
    <t>JOHN</t>
  </si>
  <si>
    <t>JUMBO</t>
  </si>
  <si>
    <t>2024/09/07 12:59:01 PM GMT+1</t>
  </si>
  <si>
    <t>ummkulthumabdulkareem@gmail.com</t>
  </si>
  <si>
    <t xml:space="preserve">Festus </t>
  </si>
  <si>
    <t>David</t>
  </si>
  <si>
    <t xml:space="preserve">Male </t>
  </si>
  <si>
    <t>2024/09/07 12:59:31 PM GMT+1</t>
  </si>
  <si>
    <t>Anna</t>
  </si>
  <si>
    <t>Smith</t>
  </si>
  <si>
    <t>2024/09/07 12:59:59 PM GMT+1</t>
  </si>
  <si>
    <t xml:space="preserve">Gregory </t>
  </si>
  <si>
    <t>2024/09/07 1:00:44 PM GMT+1</t>
  </si>
  <si>
    <t xml:space="preserve">Grant </t>
  </si>
  <si>
    <t xml:space="preserve">Jackson </t>
  </si>
  <si>
    <t>2024/09/07 1:01:12 PM GMT+1</t>
  </si>
  <si>
    <t>Nancy</t>
  </si>
  <si>
    <t>White</t>
  </si>
  <si>
    <t>2024/09/07 1:08:19 PM GMT+1</t>
  </si>
  <si>
    <t>olobayoekundayo@gmail.com</t>
  </si>
  <si>
    <t>Johnson</t>
  </si>
  <si>
    <t>Adekunle</t>
  </si>
  <si>
    <t>2024/09/07 1:09:08 PM GMT+1</t>
  </si>
  <si>
    <t>Sharon</t>
  </si>
  <si>
    <t>Osemudiamen</t>
  </si>
  <si>
    <t>2024/09/07 1:11:39 PM GMT+1</t>
  </si>
  <si>
    <t>olekumaster@gmail.com</t>
  </si>
  <si>
    <t>Uche</t>
  </si>
  <si>
    <t>Sylvanus</t>
  </si>
  <si>
    <t>2024/09/07 1:13:14 PM GMT+1</t>
  </si>
  <si>
    <t>Bello</t>
  </si>
  <si>
    <t>Mustapha</t>
  </si>
  <si>
    <t>2024/09/07 1:13:59 PM GMT+1</t>
  </si>
  <si>
    <t>Iniobong</t>
  </si>
  <si>
    <t>Edet</t>
  </si>
  <si>
    <t>2024/09/07 1:52:12 PM GMT+1</t>
  </si>
  <si>
    <t>glorycrucial@gmail.com</t>
  </si>
  <si>
    <t>Julian</t>
  </si>
  <si>
    <t>Jules</t>
  </si>
  <si>
    <t>2024/09/07 2:05:14 PM GMT+1</t>
  </si>
  <si>
    <t>samuelofure95@gmail.com</t>
  </si>
  <si>
    <t>Chidi</t>
  </si>
  <si>
    <t>Okoh</t>
  </si>
  <si>
    <t>2024/09/07 2:07:10 PM GMT+1</t>
  </si>
  <si>
    <t>Joy</t>
  </si>
  <si>
    <t>Andrew</t>
  </si>
  <si>
    <t>2024/09/07 2:08:35 PM GMT+1</t>
  </si>
  <si>
    <t xml:space="preserve">Shiloh </t>
  </si>
  <si>
    <t>Ofure</t>
  </si>
  <si>
    <t>2024/09/07 2:09:26 PM GMT+1</t>
  </si>
  <si>
    <t>Faith</t>
  </si>
  <si>
    <t>Ugoh</t>
  </si>
  <si>
    <t>2024/09/07 2:10:05 PM GMT+1</t>
  </si>
  <si>
    <t>Paul</t>
  </si>
  <si>
    <t xml:space="preserve">James </t>
  </si>
  <si>
    <t>2024/09/07 2:12:18 PM GMT+1</t>
  </si>
  <si>
    <t>Wealth</t>
  </si>
  <si>
    <t xml:space="preserve">Samuel </t>
  </si>
  <si>
    <t>2024/09/07 2:39:03 PM GMT+1</t>
  </si>
  <si>
    <t>ibrahimhaliru9@gmail.com</t>
  </si>
  <si>
    <t>Musa</t>
  </si>
  <si>
    <t>Ibrahim</t>
  </si>
  <si>
    <t>2024/09/07 2:40:04 PM GMT+1</t>
  </si>
  <si>
    <t>Sa'adatu</t>
  </si>
  <si>
    <t>Lawal</t>
  </si>
  <si>
    <t>2024/09/07 2:41:08 PM GMT+1</t>
  </si>
  <si>
    <t>Hauwa</t>
  </si>
  <si>
    <t>Bichi</t>
  </si>
  <si>
    <t>2024/09/07 2:41:52 PM GMT+1</t>
  </si>
  <si>
    <t>Adamu</t>
  </si>
  <si>
    <t>2024/09/07 2:42:22 PM GMT+1</t>
  </si>
  <si>
    <t>afolaesther@gmail.com</t>
  </si>
  <si>
    <t>Saliu</t>
  </si>
  <si>
    <t>2024/09/07 2:42:39 PM GMT+1</t>
  </si>
  <si>
    <t>Haruna</t>
  </si>
  <si>
    <t>Ningi</t>
  </si>
  <si>
    <t>2024/09/07 2:43:07 PM GMT+1</t>
  </si>
  <si>
    <t>Aderemi</t>
  </si>
  <si>
    <t>Opeyemi</t>
  </si>
  <si>
    <t>2024/09/07 2:43:53 PM GMT+1</t>
  </si>
  <si>
    <t>Ayodele</t>
  </si>
  <si>
    <t>Micheal</t>
  </si>
  <si>
    <t>2024/09/07 2:44:30 PM GMT+1</t>
  </si>
  <si>
    <t>Gabriel</t>
  </si>
  <si>
    <t>2024/09/07 2:45:05 PM GMT+1</t>
  </si>
  <si>
    <t>muktechkonzult@gmail.com</t>
  </si>
  <si>
    <t>Jimoh</t>
  </si>
  <si>
    <t>Aishat</t>
  </si>
  <si>
    <t>2024/09/07 2:45:06 PM GMT+1</t>
  </si>
  <si>
    <t>Obi</t>
  </si>
  <si>
    <t>Fidelia</t>
  </si>
  <si>
    <t>2024/09/07 2:46:32 PM GMT+1</t>
  </si>
  <si>
    <t>Afolayan</t>
  </si>
  <si>
    <t>2024/09/07 2:47:45 PM GMT+1</t>
  </si>
  <si>
    <t xml:space="preserve">Folaranmi </t>
  </si>
  <si>
    <t>Mubash</t>
  </si>
  <si>
    <t>2024/09/07 2:48:42 PM GMT+1</t>
  </si>
  <si>
    <t xml:space="preserve">Michelle </t>
  </si>
  <si>
    <t>Jackson</t>
  </si>
  <si>
    <t>2024/09/07 2:49:45 PM GMT+1</t>
  </si>
  <si>
    <t>Ajala</t>
  </si>
  <si>
    <t>Diana</t>
  </si>
  <si>
    <t>2024/09/07 3:13:47 PM GMT+1</t>
  </si>
  <si>
    <t>mercyegwakhide@gmail.com</t>
  </si>
  <si>
    <t>Gate</t>
  </si>
  <si>
    <t>2024/09/07 3:14:24 PM GMT+1</t>
  </si>
  <si>
    <t>Ruth</t>
  </si>
  <si>
    <t>John</t>
  </si>
  <si>
    <t>2024/09/07 3:15:05 PM GMT+1</t>
  </si>
  <si>
    <t>Benson</t>
  </si>
  <si>
    <t>Abraham</t>
  </si>
  <si>
    <t>2024/09/07 3:16:00 PM GMT+1</t>
  </si>
  <si>
    <t>James</t>
  </si>
  <si>
    <t>2024/09/07 3:16:36 PM GMT+1</t>
  </si>
  <si>
    <t>Esther</t>
  </si>
  <si>
    <t>King</t>
  </si>
  <si>
    <t>2024/09/07 3:24:37 PM GMT+1</t>
  </si>
  <si>
    <t>oguntolapeter81@gmail.com</t>
  </si>
  <si>
    <t xml:space="preserve">Uche </t>
  </si>
  <si>
    <t>Kanu</t>
  </si>
  <si>
    <t>2024/09/07 3:25:26 PM GMT+1</t>
  </si>
  <si>
    <t>Ndukwe</t>
  </si>
  <si>
    <t>male</t>
  </si>
  <si>
    <t>2024/09/07 3:27:28 PM GMT+1</t>
  </si>
  <si>
    <t>Mercy</t>
  </si>
  <si>
    <t>Eke</t>
  </si>
  <si>
    <t>2024/09/07 3:28:20 PM GMT+1</t>
  </si>
  <si>
    <t>Janet</t>
  </si>
  <si>
    <t>Stones</t>
  </si>
  <si>
    <t>2024/09/07 3:29:15 PM GMT+1</t>
  </si>
  <si>
    <t>Olabisi</t>
  </si>
  <si>
    <t>Adebisi</t>
  </si>
  <si>
    <t>2024/09/07 3:35:42 PM GMT+1</t>
  </si>
  <si>
    <t>faithmatthew113@gmail.com</t>
  </si>
  <si>
    <t>Joe</t>
  </si>
  <si>
    <t>Segun</t>
  </si>
  <si>
    <t xml:space="preserve">male </t>
  </si>
  <si>
    <t>2024/09/07 3:36:51 PM GMT+1</t>
  </si>
  <si>
    <t>Zee</t>
  </si>
  <si>
    <t>Abee</t>
  </si>
  <si>
    <t>2024/09/07 3:37:35 PM GMT+1</t>
  </si>
  <si>
    <t>2024/09/07 3:39:24 PM GMT+1</t>
  </si>
  <si>
    <t>Seun</t>
  </si>
  <si>
    <t>2024/09/07 3:41:35 PM GMT+1</t>
  </si>
  <si>
    <t>Galvin</t>
  </si>
  <si>
    <t xml:space="preserve">Irwin </t>
  </si>
  <si>
    <t>2024/09/07 4:55:37 PM GMT+1</t>
  </si>
  <si>
    <t>samuelogezi5@gmail.com</t>
  </si>
  <si>
    <t>Joshua</t>
  </si>
  <si>
    <t>Okpe</t>
  </si>
  <si>
    <t>2024/09/07 4:56:28 PM GMT+1</t>
  </si>
  <si>
    <t>Sarah</t>
  </si>
  <si>
    <t>2024/09/07 4:56:50 PM GMT+1</t>
  </si>
  <si>
    <t>bayoadewoye1@gmail.com</t>
  </si>
  <si>
    <t>Bayo</t>
  </si>
  <si>
    <t>Adewoye</t>
  </si>
  <si>
    <t>2024/09/07 4:57:20 PM GMT+1</t>
  </si>
  <si>
    <t>Felicia</t>
  </si>
  <si>
    <t>Chukwu</t>
  </si>
  <si>
    <t>2024/09/07 4:58:06 PM GMT+1</t>
  </si>
  <si>
    <t>Charles</t>
  </si>
  <si>
    <t>Donald</t>
  </si>
  <si>
    <t>2024/09/07 4:59:22 PM GMT+1</t>
  </si>
  <si>
    <t>Francis</t>
  </si>
  <si>
    <t>Audu</t>
  </si>
  <si>
    <t>2024/09/07 5:03:23 PM GMT+1</t>
  </si>
  <si>
    <t>ttnigcom@gmail.com</t>
  </si>
  <si>
    <t xml:space="preserve">ALI </t>
  </si>
  <si>
    <t>TANKO</t>
  </si>
  <si>
    <t>2024/09/07 5:04:08 PM GMT+1</t>
  </si>
  <si>
    <t>NKECHI</t>
  </si>
  <si>
    <t>OKAFOR</t>
  </si>
  <si>
    <t>2024/09/07 5:05:16 PM GMT+1</t>
  </si>
  <si>
    <t>KINGSLEY</t>
  </si>
  <si>
    <t>ABASI</t>
  </si>
  <si>
    <t>2024/09/07 5:06:14 PM GMT+1</t>
  </si>
  <si>
    <t>ADE</t>
  </si>
  <si>
    <t>TIJANI</t>
  </si>
  <si>
    <t>2024/09/07 5:06:52 PM GMT+1</t>
  </si>
  <si>
    <t>MARY</t>
  </si>
  <si>
    <t>MOSES</t>
  </si>
  <si>
    <t>2024/09/07 5:52:12 PM GMT+1</t>
  </si>
  <si>
    <t>omolarajoyo@gmail.com</t>
  </si>
  <si>
    <t xml:space="preserve">Omolara </t>
  </si>
  <si>
    <t>Akinmusira</t>
  </si>
  <si>
    <t>2024/09/07 5:57:34 PM GMT+1</t>
  </si>
  <si>
    <t>onwuanabilesylvia@gmail.com</t>
  </si>
  <si>
    <t>Omo</t>
  </si>
  <si>
    <t>Oko</t>
  </si>
  <si>
    <t>2024/09/07 5:59:21 PM GMT+1</t>
  </si>
  <si>
    <t>Senior</t>
  </si>
  <si>
    <t>Akigbo</t>
  </si>
  <si>
    <t>2024/09/07 6:00:20 PM GMT+1</t>
  </si>
  <si>
    <t>Shema</t>
  </si>
  <si>
    <t>Emma</t>
  </si>
  <si>
    <t>2024/09/07 6:01:31 PM GMT+1</t>
  </si>
  <si>
    <t>Afeez</t>
  </si>
  <si>
    <t>2024/09/07 6:02:53 PM GMT+1</t>
  </si>
  <si>
    <t>Boy</t>
  </si>
  <si>
    <t>Village</t>
  </si>
  <si>
    <t>2024/09/07 6:19:14 PM GMT+1</t>
  </si>
  <si>
    <t>abubakardokochi@gmail.com</t>
  </si>
  <si>
    <t>ABUBAKAR</t>
  </si>
  <si>
    <t>MUHAMMAD DOKOCHI</t>
  </si>
  <si>
    <t>NILL</t>
  </si>
  <si>
    <t>2024/09/07 6:27:54 PM GMT+1</t>
  </si>
  <si>
    <t>2024/09/07 7:47:45 PM GMT+1</t>
  </si>
  <si>
    <t>azazigifted@gmail.com</t>
  </si>
  <si>
    <t>Somadina</t>
  </si>
  <si>
    <t>Ebube</t>
  </si>
  <si>
    <t>2024/09/07 7:47:50 PM GMT+1</t>
  </si>
  <si>
    <t>ikekecrystal@gmail.com</t>
  </si>
  <si>
    <t>Anne</t>
  </si>
  <si>
    <t>Orezi</t>
  </si>
  <si>
    <t>2024/09/07 7:48:44 PM GMT+1</t>
  </si>
  <si>
    <t xml:space="preserve">Somadina </t>
  </si>
  <si>
    <t>2024/09/07 7:48:51 PM GMT+1</t>
  </si>
  <si>
    <t>Gerald</t>
  </si>
  <si>
    <t>Peter</t>
  </si>
  <si>
    <t>2024/09/07 7:49:34 PM GMT+1</t>
  </si>
  <si>
    <t>Myles</t>
  </si>
  <si>
    <t>Jermaine</t>
  </si>
  <si>
    <t>2024/09/07 7:49:38 PM GMT+1</t>
  </si>
  <si>
    <t>Excel</t>
  </si>
  <si>
    <t>Kobiruo</t>
  </si>
  <si>
    <t>2024/09/07 7:50:18 PM GMT+1</t>
  </si>
  <si>
    <t>Aisha</t>
  </si>
  <si>
    <t>2024/09/07 7:50:51 PM GMT+1</t>
  </si>
  <si>
    <t xml:space="preserve">Ngozi </t>
  </si>
  <si>
    <t>Eze</t>
  </si>
  <si>
    <t>2024/09/07 7:50:52 PM GMT+1</t>
  </si>
  <si>
    <t>Bassey</t>
  </si>
  <si>
    <t>Koko</t>
  </si>
  <si>
    <t>2024/09/07 7:57:07 PM GMT+1</t>
  </si>
  <si>
    <t>dammyemmanuel222@gmail.com</t>
  </si>
  <si>
    <t xml:space="preserve">Damilola </t>
  </si>
  <si>
    <t xml:space="preserve">Emmanuel </t>
  </si>
  <si>
    <t>2024/09/07 7:57:25 PM GMT+1</t>
  </si>
  <si>
    <t>Ibe</t>
  </si>
  <si>
    <t>2024/09/07 7:58:14 PM GMT+1</t>
  </si>
  <si>
    <t>Poshia</t>
  </si>
  <si>
    <t>Samuel</t>
  </si>
  <si>
    <t>2024/09/07 8:01:03 PM GMT+1</t>
  </si>
  <si>
    <t>2024/09/07 8:02:19 PM GMT+1</t>
  </si>
  <si>
    <t>2024/09/07 8:05:05 PM GMT+1</t>
  </si>
  <si>
    <t xml:space="preserve">Anne </t>
  </si>
  <si>
    <t>2024/09/07 8:05:53 PM GMT+1</t>
  </si>
  <si>
    <t>2024/09/07 8:06:49 PM GMT+1</t>
  </si>
  <si>
    <t>2024/09/07 8:07:11 PM GMT+1</t>
  </si>
  <si>
    <t>yakubusaya@gmail.com</t>
  </si>
  <si>
    <t xml:space="preserve">IBRAHIM </t>
  </si>
  <si>
    <t>BELLO</t>
  </si>
  <si>
    <t>2024/09/07 8:07:30 PM GMT+1</t>
  </si>
  <si>
    <t>2024/09/07 8:08:14 PM GMT+1</t>
  </si>
  <si>
    <t>2024/09/07 8:08:22 PM GMT+1</t>
  </si>
  <si>
    <t xml:space="preserve">ESTHER </t>
  </si>
  <si>
    <t>EZE</t>
  </si>
  <si>
    <t>2024/09/07 8:09:22 PM GMT+1</t>
  </si>
  <si>
    <t>GODIYA</t>
  </si>
  <si>
    <t>SALE</t>
  </si>
  <si>
    <t>2024/09/07 8:10:39 PM GMT+1</t>
  </si>
  <si>
    <t xml:space="preserve">ADAMU </t>
  </si>
  <si>
    <t>GARBA</t>
  </si>
  <si>
    <t>2024/09/07 8:11:34 PM GMT+1</t>
  </si>
  <si>
    <t>EZEKIEL</t>
  </si>
  <si>
    <t>MAIYABO</t>
  </si>
  <si>
    <t>2024/09/07 8:13:01 PM GMT+1</t>
  </si>
  <si>
    <t>haneephat001@gmail.com</t>
  </si>
  <si>
    <t xml:space="preserve">Zainab </t>
  </si>
  <si>
    <t xml:space="preserve">Usman </t>
  </si>
  <si>
    <t>2024/09/07 8:13:50 PM GMT+1</t>
  </si>
  <si>
    <t xml:space="preserve">Aminat </t>
  </si>
  <si>
    <t xml:space="preserve">Abdulraheem </t>
  </si>
  <si>
    <t>2024/09/07 8:14:22 PM GMT+1</t>
  </si>
  <si>
    <t xml:space="preserve">Yusuf </t>
  </si>
  <si>
    <t>Waheed</t>
  </si>
  <si>
    <t>Make</t>
  </si>
  <si>
    <t>2024/09/07 8:14:54 PM GMT+1</t>
  </si>
  <si>
    <t xml:space="preserve">Daniel </t>
  </si>
  <si>
    <t>2024/09/07 8:15:22 PM GMT+1</t>
  </si>
  <si>
    <t>Jumai</t>
  </si>
  <si>
    <t>2024/09/07 8:25:48 PM GMT+1</t>
  </si>
  <si>
    <t>dikkoabdulsamad@gmail.com</t>
  </si>
  <si>
    <t>Mukhtar</t>
  </si>
  <si>
    <t>Iliyasu</t>
  </si>
  <si>
    <t>2024/09/07 8:26:53 PM GMT+1</t>
  </si>
  <si>
    <t xml:space="preserve">Maryam </t>
  </si>
  <si>
    <t>2024/09/07 8:28:07 PM GMT+1</t>
  </si>
  <si>
    <t>Abdulrahman</t>
  </si>
  <si>
    <t>2024/09/07 8:29:20 PM GMT+1</t>
  </si>
  <si>
    <t>Jadalhaq</t>
  </si>
  <si>
    <t>2024/09/07 8:31:16 PM GMT+1</t>
  </si>
  <si>
    <t>Ayodeji</t>
  </si>
  <si>
    <t>Banigbe</t>
  </si>
  <si>
    <t>2024/09/07 8:35:17 PM GMT+1</t>
  </si>
  <si>
    <t>Timothy</t>
  </si>
  <si>
    <t>Peters</t>
  </si>
  <si>
    <t>2024/09/07 8:38:35 PM GMT+1</t>
  </si>
  <si>
    <t>Lukeman</t>
  </si>
  <si>
    <t>Jonah</t>
  </si>
  <si>
    <t>2024/09/07 8:39:29 PM GMT+1</t>
  </si>
  <si>
    <t>Bright</t>
  </si>
  <si>
    <t>2024/09/07 8:40:42 PM GMT+1</t>
  </si>
  <si>
    <t>Tosin</t>
  </si>
  <si>
    <t>Adeleye</t>
  </si>
  <si>
    <t>2024/09/07 8:42:18 PM GMT+1</t>
  </si>
  <si>
    <t>Dorcas</t>
  </si>
  <si>
    <t>2024/09/07 8:46:28 PM GMT+1</t>
  </si>
  <si>
    <t>olorunmaiyeolusegun@gmail.com</t>
  </si>
  <si>
    <t>Mirabel</t>
  </si>
  <si>
    <t>2024/09/07 8:47:31 PM GMT+1</t>
  </si>
  <si>
    <t>Dediwura</t>
  </si>
  <si>
    <t xml:space="preserve">Olawoye </t>
  </si>
  <si>
    <t>2024/09/07 8:49:21 PM GMT+1</t>
  </si>
  <si>
    <t>habu709@gmail.com</t>
  </si>
  <si>
    <t>Sani</t>
  </si>
  <si>
    <t>Tinubu</t>
  </si>
  <si>
    <t>2024/09/07 8:50:18 PM GMT+1</t>
  </si>
  <si>
    <t xml:space="preserve">Bola </t>
  </si>
  <si>
    <t>Buhari</t>
  </si>
  <si>
    <t>2024/09/07 8:51:06 PM GMT+1</t>
  </si>
  <si>
    <t xml:space="preserve">Tolu </t>
  </si>
  <si>
    <t>Adeyemi</t>
  </si>
  <si>
    <t>2024/09/07 8:51:57 PM GMT+1</t>
  </si>
  <si>
    <t xml:space="preserve">Hadiza </t>
  </si>
  <si>
    <t>Bala</t>
  </si>
  <si>
    <t>2024/09/07 8:52:38 PM GMT+1</t>
  </si>
  <si>
    <t xml:space="preserve">Joy </t>
  </si>
  <si>
    <t>2024/09/07 9:17:27 PM GMT+1</t>
  </si>
  <si>
    <t>bilkisujamb@gmail.com</t>
  </si>
  <si>
    <t>Bilkisu</t>
  </si>
  <si>
    <t>Yusuf</t>
  </si>
  <si>
    <t>2024/09/07 9:18:16 PM GMT+1</t>
  </si>
  <si>
    <t>Maryam</t>
  </si>
  <si>
    <t>Sambo</t>
  </si>
  <si>
    <t>2024/09/07 9:18:55 PM GMT+1</t>
  </si>
  <si>
    <t>Dambo</t>
  </si>
  <si>
    <t>2024/09/07 9:19:25 PM GMT+1</t>
  </si>
  <si>
    <t>Sadiq</t>
  </si>
  <si>
    <t>Nasir</t>
  </si>
  <si>
    <t>2024/09/07 9:20:07 PM GMT+1</t>
  </si>
  <si>
    <t>2024/09/07 9:20:46 PM GMT+1</t>
  </si>
  <si>
    <t>Glori</t>
  </si>
  <si>
    <t>Zak</t>
  </si>
  <si>
    <t>2024/09/07 9:22:07 PM GMT+1</t>
  </si>
  <si>
    <t>kadunaali@gmail.com</t>
  </si>
  <si>
    <t>Ali</t>
  </si>
  <si>
    <t xml:space="preserve">Haruna Kaduna </t>
  </si>
  <si>
    <t>Iliyasu Yusuf |13|, Ameera Sunusi |15|, Aishat Bindawa |16|, Wapuken Tsoken |12|, James Kenneth |17|</t>
  </si>
  <si>
    <t>Iliyasu Yusuf |11|, Ameera Sunusi |10|, Aishat Bindawa |09|, Wapuken Tsoken |14|, James Kenneth |10|</t>
  </si>
  <si>
    <t>Iliyasu Yusuf |32|, Ameera Sunusi |43|, Aishat Bindawa |45|, Wapuken Tsoken |38|, James Kenneth |34|</t>
  </si>
  <si>
    <t>2024/09/07 9:28:46 PM GMT+1</t>
  </si>
  <si>
    <t>ozokoloruth@gmail.com</t>
  </si>
  <si>
    <t xml:space="preserve">Ozokolo </t>
  </si>
  <si>
    <t>17, 15, 20, 17, 18</t>
  </si>
  <si>
    <t>15, 20, 18, 20, 18</t>
  </si>
  <si>
    <t>35, 49, 50, 58, 55</t>
  </si>
  <si>
    <t>2024/09/07 9:41:20 PM GMT+1</t>
  </si>
  <si>
    <t>cassie4sandee@gmail.com</t>
  </si>
  <si>
    <t>Monday</t>
  </si>
  <si>
    <t xml:space="preserve">Sandra </t>
  </si>
  <si>
    <t>2024/09/07 9:45:44 PM GMT+1</t>
  </si>
  <si>
    <t>ojomugbenyo@gmail.com</t>
  </si>
  <si>
    <t xml:space="preserve">Ojomugbenyo </t>
  </si>
  <si>
    <t xml:space="preserve">Abah </t>
  </si>
  <si>
    <t>2024/09/07 10:39:38 PM GMT+1</t>
  </si>
  <si>
    <t>aishaadamuharuna212@gmail.com</t>
  </si>
  <si>
    <t>Amira</t>
  </si>
  <si>
    <t>Abba</t>
  </si>
  <si>
    <t>2024/09/07 10:41:45 PM GMT+1</t>
  </si>
  <si>
    <t xml:space="preserve">Abel </t>
  </si>
  <si>
    <t>2024/09/07 10:43:45 PM GMT+1</t>
  </si>
  <si>
    <t>Caleb</t>
  </si>
  <si>
    <t>2024/09/07 10:45:47 PM GMT+1</t>
  </si>
  <si>
    <t>Sadiya</t>
  </si>
  <si>
    <t>Umar</t>
  </si>
  <si>
    <t>2024/09/07 10:46:51 PM GMT+1</t>
  </si>
  <si>
    <t>Zipora</t>
  </si>
  <si>
    <t>George</t>
  </si>
  <si>
    <t>2024/09/08 12:33:35 AM GMT+1</t>
  </si>
  <si>
    <t>estelleoden1@gmail.com</t>
  </si>
  <si>
    <t>Nick</t>
  </si>
  <si>
    <t xml:space="preserve">Christian </t>
  </si>
  <si>
    <t>2024/09/08 12:34:31 AM GMT+1</t>
  </si>
  <si>
    <t>Embers</t>
  </si>
  <si>
    <t>2024/09/08 12:35:11 AM GMT+1</t>
  </si>
  <si>
    <t>Hope</t>
  </si>
  <si>
    <t>2024/09/08 12:35:49 AM GMT+1</t>
  </si>
  <si>
    <t>Mike</t>
  </si>
  <si>
    <t>Rex</t>
  </si>
  <si>
    <t>2024/09/08 12:36:50 AM GMT+1</t>
  </si>
  <si>
    <t>Chole</t>
  </si>
  <si>
    <t>Ethan</t>
  </si>
  <si>
    <t>2024/09/08 12:37:58 AM GMT+1</t>
  </si>
  <si>
    <t>maryakinyemi20@gmail.com</t>
  </si>
  <si>
    <t>Mary</t>
  </si>
  <si>
    <t xml:space="preserve">Akinyemi </t>
  </si>
  <si>
    <t>2024/09/08 12:38:19 AM GMT+1</t>
  </si>
  <si>
    <t>dhaggaitem123@gmail.com</t>
  </si>
  <si>
    <t xml:space="preserve">Dorcas </t>
  </si>
  <si>
    <t xml:space="preserve">Haggai </t>
  </si>
  <si>
    <t>2024/09/08 1:15:31 AM GMT+1</t>
  </si>
  <si>
    <t>adegbolamartha987@gmail.com</t>
  </si>
  <si>
    <t>Temi</t>
  </si>
  <si>
    <t xml:space="preserve">Jayde </t>
  </si>
  <si>
    <t>2024/09/08 1:16:41 AM GMT+1</t>
  </si>
  <si>
    <t>Will</t>
  </si>
  <si>
    <t>Aderopo</t>
  </si>
  <si>
    <t>2024/09/08 1:17:45 AM GMT+1</t>
  </si>
  <si>
    <t>Chinaza</t>
  </si>
  <si>
    <t>Egwu</t>
  </si>
  <si>
    <t>2024/09/08 1:18:28 AM GMT+1</t>
  </si>
  <si>
    <t>Akor</t>
  </si>
  <si>
    <t>2024/09/08 1:19:15 AM GMT+1</t>
  </si>
  <si>
    <t xml:space="preserve">Ebenezer </t>
  </si>
  <si>
    <t>Salami</t>
  </si>
  <si>
    <t>2024/09/08 3:14:14 AM GMT+1</t>
  </si>
  <si>
    <t>wilex2017@gmail.com</t>
  </si>
  <si>
    <t>2024/09/08 3:14:57 AM GMT+1</t>
  </si>
  <si>
    <t>Treasure</t>
  </si>
  <si>
    <t>Magnus</t>
  </si>
  <si>
    <t>2024/09/08 3:15:38 AM GMT+1</t>
  </si>
  <si>
    <t>Femi</t>
  </si>
  <si>
    <t>Olusanya</t>
  </si>
  <si>
    <t>2024/09/08 3:16:43 AM GMT+1</t>
  </si>
  <si>
    <t>Okoko</t>
  </si>
  <si>
    <t>Okon</t>
  </si>
  <si>
    <t>2024/09/08 3:17:24 AM GMT+1</t>
  </si>
  <si>
    <t>Titilayo</t>
  </si>
  <si>
    <t>Kalu</t>
  </si>
  <si>
    <t>2024/09/08 3:23:13 AM GMT+1</t>
  </si>
  <si>
    <t>2024/09/08 5:25:00 AM GMT+1</t>
  </si>
  <si>
    <t>muhammad4963@gmail.com</t>
  </si>
  <si>
    <t>Shehu</t>
  </si>
  <si>
    <t>2024/09/08 5:25:39 AM GMT+1</t>
  </si>
  <si>
    <t>2024/09/08 5:26:17 AM GMT+1</t>
  </si>
  <si>
    <t>Linda</t>
  </si>
  <si>
    <t xml:space="preserve">Thomas </t>
  </si>
  <si>
    <t>2024/09/08 5:26:56 AM GMT+1</t>
  </si>
  <si>
    <t xml:space="preserve">Hauwa </t>
  </si>
  <si>
    <t>2024/09/08 5:43:07 AM GMT+1</t>
  </si>
  <si>
    <t>2024/09/08 7:59:11 AM GMT+1</t>
  </si>
  <si>
    <t>anitaphilipiria@gmail.com</t>
  </si>
  <si>
    <t>Lyon</t>
  </si>
  <si>
    <t>2024/09/08 8:03:39 AM GMT+1</t>
  </si>
  <si>
    <t>Oladele</t>
  </si>
  <si>
    <t>2024/09/08 8:04:36 AM GMT+1</t>
  </si>
  <si>
    <t>Stephanie</t>
  </si>
  <si>
    <t>dokpesi</t>
  </si>
  <si>
    <t>female</t>
  </si>
  <si>
    <t>2024/09/08 8:05:25 AM GMT+1</t>
  </si>
  <si>
    <t>joshua</t>
  </si>
  <si>
    <t>owolabi</t>
  </si>
  <si>
    <t>2024/09/08 8:06:45 AM GMT+1</t>
  </si>
  <si>
    <t>frances</t>
  </si>
  <si>
    <t>brown</t>
  </si>
  <si>
    <t>2024/09/08 9:17:12 AM GMT+1</t>
  </si>
  <si>
    <t>zaidumarabore12@gmail.com</t>
  </si>
  <si>
    <t xml:space="preserve">Abubakar </t>
  </si>
  <si>
    <t>Bakundi</t>
  </si>
  <si>
    <t>2024/09/08 9:32:33 AM GMT+1</t>
  </si>
  <si>
    <t>Adam</t>
  </si>
  <si>
    <t>2024/09/08 9:33:37 AM GMT+1</t>
  </si>
  <si>
    <t>Isaac</t>
  </si>
  <si>
    <t>Wale</t>
  </si>
  <si>
    <t>2024/09/08 9:34:51 AM GMT+1</t>
  </si>
  <si>
    <t>Fedric</t>
  </si>
  <si>
    <t>2024/09/08 9:35:49 AM GMT+1</t>
  </si>
  <si>
    <t>Glory</t>
  </si>
  <si>
    <t xml:space="preserve">Amos </t>
  </si>
  <si>
    <t>2024/09/08 11:58:19 AM GMT+1</t>
  </si>
  <si>
    <t>chukwumerezeruth17@gmail.com</t>
  </si>
  <si>
    <t xml:space="preserve">Ruth </t>
  </si>
  <si>
    <t xml:space="preserve">Chukwumereze </t>
  </si>
  <si>
    <t>2024/09/08 2:24:59 PM GMT+1</t>
  </si>
  <si>
    <t xml:space="preserve">John </t>
  </si>
  <si>
    <t>2024/09/08 2:31:27 PM GMT+1</t>
  </si>
  <si>
    <t xml:space="preserve">Treasure </t>
  </si>
  <si>
    <t>2024/09/08 2:32:08 PM GMT+1</t>
  </si>
  <si>
    <t xml:space="preserve">Olusanya </t>
  </si>
  <si>
    <t>2024/09/08 2:32:51 PM GMT+1</t>
  </si>
  <si>
    <t>2024/09/08 2:33:30 PM GMT+1</t>
  </si>
  <si>
    <t xml:space="preserve">Titilayo </t>
  </si>
  <si>
    <t>2024/09/08 2:39:06 PM GMT+1</t>
  </si>
  <si>
    <t>adebayoadewumi4@gmail.com</t>
  </si>
  <si>
    <t>Obat</t>
  </si>
  <si>
    <t>2024/09/08 2:39:52 PM GMT+1</t>
  </si>
  <si>
    <t>Onah</t>
  </si>
  <si>
    <t>2024/09/08 2:40:31 PM GMT+1</t>
  </si>
  <si>
    <t>Theresa</t>
  </si>
  <si>
    <t>Madueke</t>
  </si>
  <si>
    <t>2024/09/08 2:41:14 PM GMT+1</t>
  </si>
  <si>
    <t>Matthew</t>
  </si>
  <si>
    <t>Thompson</t>
  </si>
  <si>
    <t>2024/09/08 2:41:54 PM GMT+1</t>
  </si>
  <si>
    <t>Eneh</t>
  </si>
  <si>
    <t>Williams</t>
  </si>
  <si>
    <t>2024/09/08 3:36:12 PM GMT+1</t>
  </si>
  <si>
    <t>akinkunmimoses4@gmail.com</t>
  </si>
  <si>
    <t>2024/09/08 3:38:19 PM GMT+1</t>
  </si>
  <si>
    <t xml:space="preserve">Chioma </t>
  </si>
  <si>
    <t>Alex</t>
  </si>
  <si>
    <t>2024/09/08 3:39:49 PM GMT+1</t>
  </si>
  <si>
    <t xml:space="preserve">Elizabeth </t>
  </si>
  <si>
    <t xml:space="preserve">Andrew </t>
  </si>
  <si>
    <t>2024/09/08 3:43:18 PM GMT+1</t>
  </si>
  <si>
    <t>Oluwafemi</t>
  </si>
  <si>
    <t>Adeleke</t>
  </si>
  <si>
    <t>2024/09/08 3:44:39 PM GMT+1</t>
  </si>
  <si>
    <t>Eniola</t>
  </si>
  <si>
    <t xml:space="preserve">Williams </t>
  </si>
  <si>
    <t>2024/09/08 4:14:54 PM GMT+1</t>
  </si>
  <si>
    <t>mosesodoje9@gmail.com</t>
  </si>
  <si>
    <t xml:space="preserve">Blessing </t>
  </si>
  <si>
    <t>Joseph</t>
  </si>
  <si>
    <t>2024/09/08 4:15:59 PM GMT+1</t>
  </si>
  <si>
    <t>Adama</t>
  </si>
  <si>
    <t>2024/09/08 4:16:48 PM GMT+1</t>
  </si>
  <si>
    <t xml:space="preserve">Akim </t>
  </si>
  <si>
    <t xml:space="preserve">Juliet </t>
  </si>
  <si>
    <t xml:space="preserve">female </t>
  </si>
  <si>
    <t>2024/09/08 4:17:41 PM GMT+1</t>
  </si>
  <si>
    <t xml:space="preserve">Josephine </t>
  </si>
  <si>
    <t>Emmanuel</t>
  </si>
  <si>
    <t>2024/09/08 4:18:18 PM GMT+1</t>
  </si>
  <si>
    <t>Aboi</t>
  </si>
  <si>
    <t>2024/09/08 5:17:06 PM GMT+1</t>
  </si>
  <si>
    <t>ibrahimmajigiri@gmail.com</t>
  </si>
  <si>
    <t>Amaechi</t>
  </si>
  <si>
    <t>2024/09/08 5:17:23 PM GMT+1</t>
  </si>
  <si>
    <t>julietchinasa222@gmail.com</t>
  </si>
  <si>
    <t>Abu</t>
  </si>
  <si>
    <t>2024/09/08 5:17:56 PM GMT+1</t>
  </si>
  <si>
    <t>Abdullahi</t>
  </si>
  <si>
    <t>2024/09/08 5:18:24 PM GMT+1</t>
  </si>
  <si>
    <t>Edeh</t>
  </si>
  <si>
    <t>2024/09/08 5:18:55 PM GMT+1</t>
  </si>
  <si>
    <t>Ngozi</t>
  </si>
  <si>
    <t>Chinedu</t>
  </si>
  <si>
    <t>2024/09/08 5:19:26 PM GMT+1</t>
  </si>
  <si>
    <t>2024/09/08 5:19:43 PM GMT+1</t>
  </si>
  <si>
    <t>Ayo</t>
  </si>
  <si>
    <t xml:space="preserve">Adebayor </t>
  </si>
  <si>
    <t>2024/09/08 5:20:19 PM GMT+1</t>
  </si>
  <si>
    <t>Kosi</t>
  </si>
  <si>
    <t>Umeh</t>
  </si>
  <si>
    <t>2024/09/08 5:20:44 PM GMT+1</t>
  </si>
  <si>
    <t>2024/09/08 5:21:26 PM GMT+1</t>
  </si>
  <si>
    <t>Elijah</t>
  </si>
  <si>
    <t>Sunday</t>
  </si>
  <si>
    <t>2024/09/08 5:26:05 PM GMT+1</t>
  </si>
  <si>
    <t>Haggai</t>
  </si>
  <si>
    <t>2024/09/08 5:27:01 PM GMT+1</t>
  </si>
  <si>
    <t>2024/09/08 5:28:17 PM GMT+1</t>
  </si>
  <si>
    <t>2024/09/08 5:29:12 PM GMT+1</t>
  </si>
  <si>
    <t>2024/09/08 5:56:34 PM GMT+1</t>
  </si>
  <si>
    <t>2024/09/08 5:57:17 PM GMT+1</t>
  </si>
  <si>
    <t>Jennifer</t>
  </si>
  <si>
    <t>Sam</t>
  </si>
  <si>
    <t>2024/09/08 5:57:58 PM GMT+1</t>
  </si>
  <si>
    <t>2024/09/08 5:58:12 PM GMT+1</t>
  </si>
  <si>
    <t>Alfred</t>
  </si>
  <si>
    <t>2024/09/08 5:58:59 PM GMT+1</t>
  </si>
  <si>
    <t>Rejoice</t>
  </si>
  <si>
    <t>Tanze</t>
  </si>
  <si>
    <t>2024/09/08 5:59:43 PM GMT+1</t>
  </si>
  <si>
    <t xml:space="preserve">Doris </t>
  </si>
  <si>
    <t>Felix</t>
  </si>
  <si>
    <t>2024/09/08 6:00:38 PM GMT+1</t>
  </si>
  <si>
    <t>ALI</t>
  </si>
  <si>
    <t>2024/09/08 6:11:39 PM GMT+1</t>
  </si>
  <si>
    <t>abdulganiyukolawole56@gmail.com</t>
  </si>
  <si>
    <t>Kolawole</t>
  </si>
  <si>
    <t>Muniru</t>
  </si>
  <si>
    <t>2024/09/08 6:12:38 PM GMT+1</t>
  </si>
  <si>
    <t>2024/09/08 6:13:43 PM GMT+1</t>
  </si>
  <si>
    <t>Muhammad</t>
  </si>
  <si>
    <t>Aliyy</t>
  </si>
  <si>
    <t>2024/09/08 6:14:40 PM GMT+1</t>
  </si>
  <si>
    <t>Faruq</t>
  </si>
  <si>
    <t>Talhah</t>
  </si>
  <si>
    <t>2024/09/08 6:15:46 PM GMT+1</t>
  </si>
  <si>
    <t>Sadiyah</t>
  </si>
  <si>
    <t>2024/09/08 6:16:20 PM GMT+1</t>
  </si>
  <si>
    <t>jonathanibrahim001@gmail.com</t>
  </si>
  <si>
    <t xml:space="preserve">Julian </t>
  </si>
  <si>
    <t>2024/09/08 6:16:37 PM GMT+1</t>
  </si>
  <si>
    <t>Aishah</t>
  </si>
  <si>
    <t>Idris</t>
  </si>
  <si>
    <t>2024/09/08 6:17:40 PM GMT+1</t>
  </si>
  <si>
    <t xml:space="preserve">Jamilu </t>
  </si>
  <si>
    <t>2024/09/08 6:18:58 PM GMT+1</t>
  </si>
  <si>
    <t xml:space="preserve">Salihu </t>
  </si>
  <si>
    <t>Jibrin</t>
  </si>
  <si>
    <t>2024/09/08 6:20:32 PM GMT+1</t>
  </si>
  <si>
    <t>2024/09/08 6:21:50 PM GMT+1</t>
  </si>
  <si>
    <t xml:space="preserve">Anna </t>
  </si>
  <si>
    <t>Alu</t>
  </si>
  <si>
    <t>2024/09/08 6:48:17 PM GMT+1</t>
  </si>
  <si>
    <t>2024/09/08 6:48:50 PM GMT+1</t>
  </si>
  <si>
    <t>Ella</t>
  </si>
  <si>
    <t>2024/09/08 6:49:27 PM GMT+1</t>
  </si>
  <si>
    <t>Desire</t>
  </si>
  <si>
    <t>2024/09/08 6:49:55 PM GMT+1</t>
  </si>
  <si>
    <t xml:space="preserve">Ugochukwu </t>
  </si>
  <si>
    <t xml:space="preserve">Raphael </t>
  </si>
  <si>
    <t>2024/09/08 6:50:24 PM GMT+1</t>
  </si>
  <si>
    <t>Coper</t>
  </si>
  <si>
    <t xml:space="preserve">Harold </t>
  </si>
  <si>
    <t>2024/09/08 7:05:02 PM GMT+1</t>
  </si>
  <si>
    <t xml:space="preserve">Ikemeka </t>
  </si>
  <si>
    <t>2024/09/08 7:06:47 PM GMT+1</t>
  </si>
  <si>
    <t xml:space="preserve">Mallami </t>
  </si>
  <si>
    <t>Hassan</t>
  </si>
  <si>
    <t>2024/09/08 7:07:45 PM GMT+1</t>
  </si>
  <si>
    <t xml:space="preserve">Demeji </t>
  </si>
  <si>
    <t>Bamidele</t>
  </si>
  <si>
    <t>2024/09/08 8:50:04 PM GMT+1</t>
  </si>
  <si>
    <t>tijanikabirusunkanmi@gmail.com</t>
  </si>
  <si>
    <t>Tijani Sunkanmi</t>
  </si>
  <si>
    <t>Kabiru</t>
  </si>
  <si>
    <t>12 marks</t>
  </si>
  <si>
    <t>18 marks</t>
  </si>
  <si>
    <t>52 marks</t>
  </si>
  <si>
    <t>2024/09/08 10:05:48 PM GMT+1</t>
  </si>
  <si>
    <t>Blessing</t>
  </si>
  <si>
    <t>Nuhu</t>
  </si>
  <si>
    <t>2024/09/08 10:06:49 PM GMT+1</t>
  </si>
  <si>
    <t>Ibro</t>
  </si>
  <si>
    <t>2024/09/08 10:07:33 PM GMT+1</t>
  </si>
  <si>
    <t xml:space="preserve">Hamisu </t>
  </si>
  <si>
    <t>Murtala</t>
  </si>
  <si>
    <t>2024/09/08 10:08:26 PM GMT+1</t>
  </si>
  <si>
    <t>Peterson</t>
  </si>
  <si>
    <t>2024/09/08 11:12:10 PM GMT+1</t>
  </si>
  <si>
    <t>2024/09/09 10:30:39 AM GMT+1</t>
  </si>
  <si>
    <t>emmanuelonah20@gmail.com</t>
  </si>
  <si>
    <t xml:space="preserve">Onah </t>
  </si>
  <si>
    <t xml:space="preserve">Okereke Emmanuel </t>
  </si>
  <si>
    <t>CAT 1. John     15/20, Sandra  18/20 ,Joel.     19/20 Linda     16/20 Mary     17/20</t>
  </si>
  <si>
    <t>CAT 2. John     18/20,  Sandra  16/20, Joel.     10/20 , Linda     9/20,  Mary     10/20</t>
  </si>
  <si>
    <t>Exam  John     50/60, Sandra  58/60, Joel.     38/60, Linda     45/60, Mary     55/60.</t>
  </si>
  <si>
    <t>2024/09/09 3:03:45 PM GMT+1</t>
  </si>
  <si>
    <t>paulsalome592@gmail.com</t>
  </si>
  <si>
    <t>Scott</t>
  </si>
  <si>
    <t>2024/09/09 3:05:27 PM GMT+1</t>
  </si>
  <si>
    <t>Wizzy</t>
  </si>
  <si>
    <t>Rick</t>
  </si>
  <si>
    <t>2024/09/09 3:06:28 PM GMT+1</t>
  </si>
  <si>
    <t>Chioma</t>
  </si>
  <si>
    <t>Ajunwa</t>
  </si>
  <si>
    <t>2024/09/09 3:07:40 PM GMT+1</t>
  </si>
  <si>
    <t>Jeff</t>
  </si>
  <si>
    <t>Crux</t>
  </si>
  <si>
    <t>2024/09/09 3:08:53 PM GMT+1</t>
  </si>
  <si>
    <t>Leonel</t>
  </si>
  <si>
    <t>Stonez</t>
  </si>
  <si>
    <t>2024/09/10 1:28:00 PM GMT+1</t>
  </si>
  <si>
    <t>dorcasiye16@gmail.com</t>
  </si>
  <si>
    <t>Samson</t>
  </si>
  <si>
    <t>2024/09/10 1:28:55 PM GMT+1</t>
  </si>
  <si>
    <t>Abimbola</t>
  </si>
  <si>
    <t>Ogunsola</t>
  </si>
  <si>
    <t>2024/09/10 1:30:30 PM GMT+1</t>
  </si>
  <si>
    <t>Christian</t>
  </si>
  <si>
    <t>2024/09/10 1:31:41 PM GMT+1</t>
  </si>
  <si>
    <t xml:space="preserve">Ezinne </t>
  </si>
  <si>
    <t>Olivia.</t>
  </si>
  <si>
    <t>2024/09/10 1:32:16 PM GMT+1</t>
  </si>
  <si>
    <t xml:space="preserve">Chiemere </t>
  </si>
  <si>
    <t>Ezeja</t>
  </si>
  <si>
    <t>2024/09/10 8:41:19 PM GMT+1</t>
  </si>
  <si>
    <t>esykakira@gmail.com</t>
  </si>
  <si>
    <t xml:space="preserve">Ismail </t>
  </si>
  <si>
    <t>Kakira</t>
  </si>
  <si>
    <t>2024/09/10 8:44:08 PM GMT+1</t>
  </si>
  <si>
    <t>Ismail</t>
  </si>
  <si>
    <t>2024/09/10 8:47:35 PM GMT+1</t>
  </si>
  <si>
    <t>Osmail</t>
  </si>
  <si>
    <t>2024/09/10 8:48:18 PM GMT+1</t>
  </si>
  <si>
    <t>Andrey</t>
  </si>
  <si>
    <t>2024/09/10 8:48:49 PM GMT+1</t>
  </si>
  <si>
    <t>Isa</t>
  </si>
  <si>
    <t>2024/09/10 9:06:10 PM GMT+1</t>
  </si>
  <si>
    <t xml:space="preserve">Iliyasu </t>
  </si>
  <si>
    <t>2024/09/10 9:07:02 PM GMT+1</t>
  </si>
  <si>
    <t xml:space="preserve">Ameera </t>
  </si>
  <si>
    <t>Sunusi</t>
  </si>
  <si>
    <t>2024/09/10 9:07:49 PM GMT+1</t>
  </si>
  <si>
    <t>Bindawa</t>
  </si>
  <si>
    <t>2024/09/10 9:08:29 PM GMT+1</t>
  </si>
  <si>
    <t>Wapuken</t>
  </si>
  <si>
    <t>Tsoken</t>
  </si>
  <si>
    <t>2024/09/10 9:09:08 PM GMT+1</t>
  </si>
  <si>
    <t xml:space="preserve">Kenneth </t>
  </si>
  <si>
    <t>2024/09/11 9:21:18 AM GMT+1</t>
  </si>
  <si>
    <t>farida</t>
  </si>
  <si>
    <t>Muhammed</t>
  </si>
  <si>
    <t>2024/09/11 9:22:07 AM GMT+1</t>
  </si>
  <si>
    <t>Tukura</t>
  </si>
  <si>
    <t>2024/09/11 9:22:38 AM GMT+1</t>
  </si>
  <si>
    <t>kareem</t>
  </si>
  <si>
    <t>2024/09/11 9:23:11 AM GMT+1</t>
  </si>
  <si>
    <t>Bimbo</t>
  </si>
  <si>
    <t>Manuel</t>
  </si>
  <si>
    <t>2024/09/11 4:01:19 PM GMT+1</t>
  </si>
  <si>
    <t>samueldavouwash@gmail.com</t>
  </si>
  <si>
    <t>2024/09/11 4:02:23 PM GMT+1</t>
  </si>
  <si>
    <t xml:space="preserve">Sarah </t>
  </si>
  <si>
    <t>2024/09/11 4:03:22 PM GMT+1</t>
  </si>
  <si>
    <t>Tolu</t>
  </si>
  <si>
    <t>Ife</t>
  </si>
  <si>
    <t>2024/09/11 4:04:15 PM GMT+1</t>
  </si>
  <si>
    <t xml:space="preserve">Ibrahim </t>
  </si>
  <si>
    <t>2024/09/11 4:05:09 PM GMT+1</t>
  </si>
  <si>
    <t xml:space="preserve">Rume </t>
  </si>
  <si>
    <t xml:space="preserve">Benson </t>
  </si>
  <si>
    <t>Date</t>
  </si>
  <si>
    <t>Time</t>
  </si>
  <si>
    <t>Full Name</t>
  </si>
  <si>
    <t>First Name cleaned</t>
  </si>
  <si>
    <t>Last Name cleaned</t>
  </si>
  <si>
    <t>Total</t>
  </si>
  <si>
    <t>Grade</t>
  </si>
  <si>
    <t>Remark</t>
  </si>
  <si>
    <t>Gender cleaned</t>
  </si>
  <si>
    <t>Duplicate</t>
  </si>
  <si>
    <t>Instructor username</t>
  </si>
  <si>
    <t>Email</t>
  </si>
  <si>
    <t>CA1</t>
  </si>
  <si>
    <t>CA2</t>
  </si>
  <si>
    <t>Exam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</si>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</sst>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dd/mm/yyyy;@"/>
    <numFmt numFmtId="166" formatCode="[$-409]h:mm:ss\ AM/PM;@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2" tint="-0.14996795556505021"/>
        <bgColor indexed="64"/>
      </patternFill>
    </fill>
    <fill>
      <patternFill patternType="solid">
        <fgColor theme="7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1" fillId="3" borderId="0" xfId="0" applyFont="1" applyFill="1"/>
    <xf numFmtId="164" fontId="1" fillId="0" borderId="0" xfId="0" applyNumberFormat="1" applyFont="1"/>
    <xf numFmtId="165" fontId="2" fillId="0" borderId="0" xfId="0" applyNumberFormat="1" applyFont="1"/>
    <xf numFmtId="166" fontId="1" fillId="0" borderId="0" xfId="0" applyNumberFormat="1" applyFont="1"/>
    <xf numFmtId="165" fontId="2" fillId="2" borderId="0" xfId="0" applyNumberFormat="1" applyFont="1" applyFill="1"/>
    <xf numFmtId="166" fontId="1" fillId="2" borderId="0" xfId="0" applyNumberFormat="1" applyFont="1" applyFill="1"/>
    <xf numFmtId="165" fontId="2" fillId="4" borderId="0" xfId="0" applyNumberFormat="1" applyFont="1" applyFill="1"/>
    <xf numFmtId="166" fontId="1" fillId="4" borderId="0" xfId="0" applyNumberFormat="1" applyFont="1" applyFill="1"/>
    <xf numFmtId="0" fontId="1" fillId="4" borderId="0" xfId="0" applyFont="1" applyFill="1"/>
    <xf numFmtId="0" fontId="0" fillId="4" borderId="0" xfId="0" applyFill="1"/>
    <xf numFmtId="165" fontId="2" fillId="5" borderId="0" xfId="0" applyNumberFormat="1" applyFont="1" applyFill="1"/>
    <xf numFmtId="166" fontId="1" fillId="5" borderId="0" xfId="0" applyNumberFormat="1" applyFont="1" applyFill="1"/>
    <xf numFmtId="0" fontId="1" fillId="5" borderId="0" xfId="0" applyFont="1" applyFill="1"/>
    <xf numFmtId="0" fontId="0" fillId="5" borderId="0" xfId="0" applyFill="1"/>
    <xf numFmtId="165" fontId="2" fillId="3" borderId="0" xfId="0" applyNumberFormat="1" applyFont="1" applyFill="1"/>
    <xf numFmtId="166" fontId="1" fillId="3" borderId="0" xfId="0" applyNumberFormat="1" applyFont="1" applyFill="1"/>
    <xf numFmtId="0" fontId="0" fillId="3" borderId="0" xfId="0" applyFill="1"/>
    <xf numFmtId="165" fontId="2" fillId="6" borderId="0" xfId="0" applyNumberFormat="1" applyFont="1" applyFill="1"/>
    <xf numFmtId="166" fontId="1" fillId="6" borderId="0" xfId="0" applyNumberFormat="1" applyFont="1" applyFill="1"/>
    <xf numFmtId="0" fontId="1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LL" id="{19C40FBB-932F-44FA-B095-6792D987C936}" userId="DELL" providerId="Non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9" dT="2026-03-30T12:51:11.29" personId="{19C40FBB-932F-44FA-B095-6792D987C936}" id="{6646AD94-D707-48AE-999A-6D4344160DC3}">
    <text>CA2 score &gt;&gt; 20 causing the total score to be &gt; 100.</text>
  </threadedComment>
  <threadedComment ref="C76" dT="2026-03-30T11:27:26.64" personId="{19C40FBB-932F-44FA-B095-6792D987C936}" id="{1A97B236-81DF-43E1-8C39-B6618968E62A}">
    <text xml:space="preserve">The Exam score value was NILL which could indicate that the student didn’t take the exam.
It was changed to 0 to perform a calculation on grade and remark.
However further questions should be asked. </text>
  </threadedComment>
  <threadedComment ref="C83" dT="2026-03-30T10:33:41.10" personId="{19C40FBB-932F-44FA-B095-6792D987C936}" id="{D37BFC4F-E385-41CB-96CD-2128240D2022}">
    <text>3 Duplicate values for Aisha Musa,  Deletion isn’t an option since the score columns have different values. More Information needed</text>
  </threadedComment>
  <threadedComment ref="C91" dT="2026-03-30T10:33:50.55" personId="{19C40FBB-932F-44FA-B095-6792D987C936}" id="{11591510-70D4-44B4-BD93-94281A4D97F9}">
    <text>3 Duplicate values for Aisha Musa,  Deletion isn’t an option since the score columns have different values. More Information needed</text>
  </threadedComment>
  <threadedComment ref="C124" dT="2026-03-30T11:31:22.49" personId="{19C40FBB-932F-44FA-B095-6792D987C936}" id="{3DFB4810-6B1B-460A-82D7-09D94E9932AF}">
    <text>Scores are not intelligible, total, grade and remark cannot be generated.</text>
  </threadedComment>
  <threadedComment ref="C125" dT="2026-03-30T11:31:29.50" personId="{19C40FBB-932F-44FA-B095-6792D987C936}" id="{67BA669A-58AD-488D-815C-D79960DA7B26}">
    <text>Scores are not intelligible, total, grade and remark cannot be generated.</text>
  </threadedComment>
  <threadedComment ref="C139" dT="2026-03-30T10:35:49.11" personId="{19C40FBB-932F-44FA-B095-6792D987C936}" id="{B337E0DE-A823-46B0-A8BC-59C254E75287}">
    <text>4 duplicate entries for Dorcas Haggai. The score columns are different which makes it difficult to delete. More information needed.</text>
  </threadedComment>
  <threadedComment ref="C193" dT="2026-03-30T10:33:56.60" personId="{19C40FBB-932F-44FA-B095-6792D987C936}" id="{7F75CF89-F51B-4713-8324-FBB9D5C83528}">
    <text>3 Duplicate values for Aisha Musa,  Deletion isn’t an option since the score columns have different values. More Information needed</text>
  </threadedComment>
  <threadedComment ref="C195" dT="2026-03-30T10:35:33.80" personId="{19C40FBB-932F-44FA-B095-6792D987C936}" id="{F93ED7DD-137A-4562-B6A5-D3AD6FA9EA17}">
    <text>4 duplicate entries for Dorcas Haggai. The score columns are different which makes it difficult to delete. More information needed.</text>
  </threadedComment>
  <threadedComment ref="C196" dT="2026-03-30T10:35:41.13" personId="{19C40FBB-932F-44FA-B095-6792D987C936}" id="{DBC5CED7-EA13-4785-AE1E-8EB8BFEEB764}">
    <text>4 duplicate entries for Dorcas Haggai. The score columns are different which makes it difficult to delete. More information needed.</text>
  </threadedComment>
  <threadedComment ref="C198" dT="2026-03-30T10:35:57.72" personId="{19C40FBB-932F-44FA-B095-6792D987C936}" id="{2629C18A-0F29-492B-AF6A-77E27475AB7D}">
    <text>4 duplicate entries for Dorcas Haggai. The score columns are different which makes it difficult to delete. More information needed.</text>
  </threadedComment>
  <threadedComment ref="C209" dT="2026-03-30T11:25:27.25" personId="{19C40FBB-932F-44FA-B095-6792D987C936}" id="{467065BB-92D2-4D30-ADAA-3FA2130FE3BA}">
    <text>Last Name was entered as 18. This was deleted but further clarification is needed.</text>
  </threadedComment>
  <threadedComment ref="C229" dT="2026-03-30T11:29:56.43" personId="{19C40FBB-932F-44FA-B095-6792D987C936}" id="{B19C8BD6-CA1B-4428-B427-1C4E90275172}">
    <text>Scores are not intelligible, total, grade and remark cannot be generated.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2E5E-339F-400B-9456-7DC9C4FE8BA7}">
  <dimension ref="A1:V258"/>
  <sheetViews>
    <sheetView tabSelected="1" topLeftCell="C1" zoomScale="115" zoomScaleNormal="115" workbookViewId="0">
      <selection activeCell="E6" sqref="E6"/>
    </sheetView>
  </sheetViews>
  <sheetFormatPr defaultRowHeight="12.75" x14ac:dyDescent="0.2"/>
  <cols>
    <col min="1" max="2" width="28.5703125" hidden="1" customWidth="1"/>
    <col min="3" max="4" width="15.140625" customWidth="1"/>
    <col min="5" max="5" width="33.42578125" customWidth="1"/>
    <col min="6" max="6" width="14.28515625" hidden="1" customWidth="1"/>
    <col min="7" max="7" width="17.42578125" hidden="1" customWidth="1"/>
    <col min="8" max="8" width="21.5703125" hidden="1" customWidth="1"/>
    <col min="9" max="9" width="18.28515625" hidden="1" customWidth="1"/>
    <col min="10" max="10" width="27" bestFit="1" customWidth="1"/>
    <col min="11" max="11" width="8.7109375" hidden="1" customWidth="1"/>
    <col min="12" max="12" width="35.85546875" bestFit="1" customWidth="1"/>
    <col min="13" max="13" width="8.5703125" hidden="1" customWidth="1"/>
    <col min="14" max="14" width="14.140625" hidden="1" customWidth="1"/>
    <col min="15" max="15" width="13.28515625" customWidth="1"/>
    <col min="16" max="16" width="13.85546875" customWidth="1"/>
    <col min="17" max="17" width="16" customWidth="1"/>
    <col min="18" max="18" width="11" customWidth="1"/>
    <col min="19" max="19" width="10.5703125" customWidth="1"/>
  </cols>
  <sheetData>
    <row r="1" spans="1:22" x14ac:dyDescent="0.2">
      <c r="A1" s="1" t="s">
        <v>0</v>
      </c>
      <c r="B1" s="2" t="s">
        <v>779</v>
      </c>
      <c r="C1" s="1" t="s">
        <v>764</v>
      </c>
      <c r="D1" s="2" t="s">
        <v>765</v>
      </c>
      <c r="E1" s="2" t="s">
        <v>774</v>
      </c>
      <c r="F1" s="1" t="s">
        <v>2</v>
      </c>
      <c r="G1" s="2" t="s">
        <v>767</v>
      </c>
      <c r="H1" s="1" t="s">
        <v>3</v>
      </c>
      <c r="I1" s="2" t="s">
        <v>768</v>
      </c>
      <c r="J1" s="2" t="s">
        <v>766</v>
      </c>
      <c r="K1" s="2" t="s">
        <v>773</v>
      </c>
      <c r="L1" s="2" t="s">
        <v>775</v>
      </c>
      <c r="M1" s="1" t="s">
        <v>4</v>
      </c>
      <c r="N1" s="2" t="s">
        <v>772</v>
      </c>
      <c r="O1" s="2" t="s">
        <v>776</v>
      </c>
      <c r="P1" s="2" t="s">
        <v>777</v>
      </c>
      <c r="Q1" s="2" t="s">
        <v>778</v>
      </c>
      <c r="R1" s="2" t="s">
        <v>769</v>
      </c>
      <c r="S1" s="2" t="s">
        <v>770</v>
      </c>
      <c r="T1" s="2" t="s">
        <v>771</v>
      </c>
    </row>
    <row r="2" spans="1:22" x14ac:dyDescent="0.2">
      <c r="A2" s="1" t="s">
        <v>8</v>
      </c>
      <c r="B2" s="7">
        <f t="shared" ref="B2:B65" si="0">VALUE((SUBSTITUTE(A2,"GMT+1","")))</f>
        <v>45542.412916666668</v>
      </c>
      <c r="C2" s="8">
        <f>VALUE(SUBSTITUTE(A2,"GMT+1",""))</f>
        <v>45542.412916666668</v>
      </c>
      <c r="D2" s="9">
        <f>MOD(C2,1)</f>
        <v>0.41291666666802485</v>
      </c>
      <c r="E2" s="1" t="s">
        <v>9</v>
      </c>
      <c r="F2" s="1" t="s">
        <v>10</v>
      </c>
      <c r="G2" s="1" t="str">
        <f>PROPER(TRIM(F2))</f>
        <v>Jane</v>
      </c>
      <c r="H2" s="1" t="s">
        <v>11</v>
      </c>
      <c r="I2" s="1" t="str">
        <f>PROPER(TRIM(H2))</f>
        <v>Aruna</v>
      </c>
      <c r="J2" s="1" t="str">
        <f t="shared" ref="J2:J65" si="1">_xlfn.CONCAT(G2," ",I2)</f>
        <v>Jane Aruna</v>
      </c>
      <c r="K2" s="1" t="str">
        <f t="shared" ref="K2:K65" si="2">IF(COUNTIF($J$2:$J$258,J2)&gt;1,"Duplicate","Unique")</f>
        <v>Unique</v>
      </c>
      <c r="L2" s="1" t="str">
        <f t="shared" ref="L2:L33" si="3">_xlfn.CONCAT(LOWER(G2),LOWER(I2),"@3mtt.com")</f>
        <v>janearuna@3mtt.com</v>
      </c>
      <c r="M2" s="1" t="s">
        <v>12</v>
      </c>
      <c r="N2" s="1" t="str">
        <f>IF(M2="Make","Male",PROPER(M2))</f>
        <v>Female</v>
      </c>
      <c r="O2" s="1">
        <v>14</v>
      </c>
      <c r="P2" s="1">
        <v>16</v>
      </c>
      <c r="Q2" s="1">
        <v>56</v>
      </c>
      <c r="R2" s="2" cm="1">
        <f t="array" ref="R2">IF(AND(ISNUMBER(O2:Q2),SUM(O2:Q2)&lt;100),SUM(O2:Q2),"No Score")</f>
        <v>86</v>
      </c>
      <c r="S2" t="str" cm="1">
        <f t="array" ref="S2">_xlfn.IFS(AND(R2 &gt;=91,R2 &lt;=100),"A+",AND(R2 &gt;=71,R2 &lt;=90),"A",AND(R2 &gt;=61,R2 &lt;=70),"B",AND(R2 &gt;=51,R2 &lt;=60),"C",AND(R2 &gt;=40,R2 &lt;=50),"D",R2 &lt;40,"F",R2="No Score","No Grade",OR(R2&gt;100,R2&lt;0),"Invalid score")</f>
        <v>A</v>
      </c>
      <c r="T2" t="str" cm="1">
        <f t="array" ref="T2">_xlfn.IFS(S2="A+","Distinction",S2="A","Excellent", S2="B","Credit",S2="C","Very Good", S2="D","Good",S2="F","Poor",OR(S2="No Grade",S2="Invalid Score"),"No Remark")</f>
        <v>Excellent</v>
      </c>
    </row>
    <row r="3" spans="1:22" x14ac:dyDescent="0.2">
      <c r="A3" s="1" t="s">
        <v>13</v>
      </c>
      <c r="B3" s="7">
        <f t="shared" si="0"/>
        <v>45542.422650462962</v>
      </c>
      <c r="C3" s="8">
        <f t="shared" ref="C3:C66" si="4">VALUE(SUBSTITUTE(A3,"GMT+1",""))</f>
        <v>45542.422650462962</v>
      </c>
      <c r="D3" s="9">
        <f t="shared" ref="D3:D66" si="5">MOD(C3,1)</f>
        <v>0.42265046296233777</v>
      </c>
      <c r="E3" s="1" t="s">
        <v>14</v>
      </c>
      <c r="F3" s="1" t="s">
        <v>15</v>
      </c>
      <c r="G3" s="1" t="str">
        <f t="shared" ref="G3:G66" si="6">PROPER(TRIM(F3))</f>
        <v>Grace</v>
      </c>
      <c r="H3" s="1" t="s">
        <v>16</v>
      </c>
      <c r="I3" s="1" t="str">
        <f t="shared" ref="I3:I66" si="7">PROPER(TRIM(H3))</f>
        <v>Havens</v>
      </c>
      <c r="J3" s="1" t="str">
        <f t="shared" si="1"/>
        <v>Grace Havens</v>
      </c>
      <c r="K3" s="1" t="str">
        <f t="shared" si="2"/>
        <v>Unique</v>
      </c>
      <c r="L3" s="1" t="str">
        <f t="shared" si="3"/>
        <v>gracehavens@3mtt.com</v>
      </c>
      <c r="M3" s="1" t="s">
        <v>17</v>
      </c>
      <c r="N3" s="1" t="str">
        <f t="shared" ref="N3:N66" si="8">IF(M3="Make","Male",PROPER(M3))</f>
        <v xml:space="preserve">Female </v>
      </c>
      <c r="O3" s="1">
        <v>12</v>
      </c>
      <c r="P3" s="1">
        <v>15</v>
      </c>
      <c r="Q3" s="1">
        <v>50</v>
      </c>
      <c r="R3" s="2" cm="1">
        <f t="array" ref="R3">IF(AND(ISNUMBER(O3:Q3),SUM(O3:Q3)&lt;100),SUM(O3:Q3),"No Score")</f>
        <v>77</v>
      </c>
      <c r="S3" t="str" cm="1">
        <f t="array" ref="S3">_xlfn.IFS(AND(R3 &gt;=91,R3 &lt;=100),"A+",AND(R3 &gt;=71,R3 &lt;=90),"A",AND(R3 &gt;=61,R3 &lt;=70),"B",AND(R3 &gt;=51,R3 &lt;=60),"C",AND(R3 &gt;=40,R3 &lt;=50),"D",R3 &lt;40,"F",R3="No Score","No Grade",OR(R3&gt;100,R3&lt;0),"Invalid score")</f>
        <v>A</v>
      </c>
      <c r="T3" t="str" cm="1">
        <f t="array" ref="T3">_xlfn.IFS(S3="A+","Distinction",S3="A","Excellent", S3="B","Credit",S3="C","Very Good", S3="D","Good",S3="F","Poor",OR(S3="No Grade",S3="Invalid Score"),"No Remark")</f>
        <v>Excellent</v>
      </c>
    </row>
    <row r="4" spans="1:22" x14ac:dyDescent="0.2">
      <c r="A4" s="1" t="s">
        <v>18</v>
      </c>
      <c r="B4" s="7">
        <f t="shared" si="0"/>
        <v>45542.423009259262</v>
      </c>
      <c r="C4" s="8">
        <f t="shared" si="4"/>
        <v>45542.423009259262</v>
      </c>
      <c r="D4" s="9">
        <f t="shared" si="5"/>
        <v>0.42300925926247146</v>
      </c>
      <c r="E4" s="1" t="s">
        <v>14</v>
      </c>
      <c r="F4" s="1" t="s">
        <v>19</v>
      </c>
      <c r="G4" s="1" t="str">
        <f t="shared" si="6"/>
        <v>Michael</v>
      </c>
      <c r="H4" s="1" t="s">
        <v>20</v>
      </c>
      <c r="I4" s="1" t="str">
        <f t="shared" si="7"/>
        <v>Usoro</v>
      </c>
      <c r="J4" s="1" t="str">
        <f t="shared" si="1"/>
        <v>Michael Usoro</v>
      </c>
      <c r="K4" s="1" t="str">
        <f t="shared" si="2"/>
        <v>Unique</v>
      </c>
      <c r="L4" s="1" t="str">
        <f t="shared" si="3"/>
        <v>michaelusoro@3mtt.com</v>
      </c>
      <c r="M4" s="1" t="s">
        <v>21</v>
      </c>
      <c r="N4" s="1" t="str">
        <f t="shared" si="8"/>
        <v>Male</v>
      </c>
      <c r="O4" s="1">
        <v>13</v>
      </c>
      <c r="P4" s="1">
        <v>18</v>
      </c>
      <c r="Q4" s="1">
        <v>54</v>
      </c>
      <c r="R4" s="2" cm="1">
        <f t="array" ref="R4">IF(AND(ISNUMBER(O4:Q4),SUM(O4:Q4)&lt;100),SUM(O4:Q4),"No Score")</f>
        <v>85</v>
      </c>
      <c r="S4" t="str" cm="1">
        <f t="array" ref="S4">_xlfn.IFS(AND(R4 &gt;=91,R4 &lt;=100),"A+",AND(R4 &gt;=71,R4 &lt;=90),"A",AND(R4 &gt;=61,R4 &lt;=70),"B",AND(R4 &gt;=51,R4 &lt;=60),"C",AND(R4 &gt;=40,R4 &lt;=50),"D",R4 &lt;40,"F",R4="No Score","No Grade",OR(R4&gt;100,R4&lt;0),"Invalid score")</f>
        <v>A</v>
      </c>
      <c r="T4" t="str" cm="1">
        <f t="array" ref="T4">_xlfn.IFS(S4="A+","Distinction",S4="A","Excellent", S4="B","Credit",S4="C","Very Good", S4="D","Good",S4="F","Poor",OR(S4="No Grade",S4="Invalid Score"),"No Remark")</f>
        <v>Excellent</v>
      </c>
      <c r="V4" cm="1">
        <f t="array" ref="V4">IF(AND(ISNUMBER(O2:Q2),SUM(O2:Q2)&lt;100),SUM(O2:Q2),"No Score")</f>
        <v>86</v>
      </c>
    </row>
    <row r="5" spans="1:22" x14ac:dyDescent="0.2">
      <c r="A5" s="1" t="s">
        <v>22</v>
      </c>
      <c r="B5" s="7">
        <f t="shared" si="0"/>
        <v>45542.423449074071</v>
      </c>
      <c r="C5" s="8">
        <f t="shared" si="4"/>
        <v>45542.423449074071</v>
      </c>
      <c r="D5" s="9">
        <f t="shared" si="5"/>
        <v>0.42344907407095889</v>
      </c>
      <c r="E5" s="1" t="s">
        <v>14</v>
      </c>
      <c r="F5" s="1" t="s">
        <v>23</v>
      </c>
      <c r="G5" s="1" t="str">
        <f t="shared" si="6"/>
        <v>Zainab</v>
      </c>
      <c r="H5" s="1" t="s">
        <v>24</v>
      </c>
      <c r="I5" s="1" t="str">
        <f t="shared" si="7"/>
        <v>Hameed</v>
      </c>
      <c r="J5" s="1" t="str">
        <f t="shared" si="1"/>
        <v>Zainab Hameed</v>
      </c>
      <c r="K5" s="1" t="str">
        <f t="shared" si="2"/>
        <v>Unique</v>
      </c>
      <c r="L5" s="1" t="str">
        <f t="shared" si="3"/>
        <v>zainabhameed@3mtt.com</v>
      </c>
      <c r="M5" s="1" t="s">
        <v>17</v>
      </c>
      <c r="N5" s="1" t="str">
        <f t="shared" si="8"/>
        <v xml:space="preserve">Female </v>
      </c>
      <c r="O5" s="1">
        <v>10</v>
      </c>
      <c r="P5" s="1">
        <v>9</v>
      </c>
      <c r="Q5" s="1">
        <v>40</v>
      </c>
      <c r="R5" s="2" cm="1">
        <f t="array" ref="R5">IF(AND(ISNUMBER(O5:Q5),SUM(O5:Q5)&lt;100),SUM(O5:Q5),"No Score")</f>
        <v>59</v>
      </c>
      <c r="S5" t="str" cm="1">
        <f t="array" ref="S5">_xlfn.IFS(AND(R5 &gt;=91,R5 &lt;=100),"A+",AND(R5 &gt;=71,R5 &lt;=90),"A",AND(R5 &gt;=61,R5 &lt;=70),"B",AND(R5 &gt;=51,R5 &lt;=60),"C",AND(R5 &gt;=40,R5 &lt;=50),"D",R5 &lt;40,"F",R5="No Score","No Grade",OR(R5&gt;100,R5&lt;0),"Invalid score")</f>
        <v>C</v>
      </c>
      <c r="T5" t="str" cm="1">
        <f t="array" ref="T5">_xlfn.IFS(S5="A+","Distinction",S5="A","Excellent", S5="B","Credit",S5="C","Very Good", S5="D","Good",S5="F","Poor",OR(S5="No Grade",S5="Invalid Score"),"No Remark")</f>
        <v>Very Good</v>
      </c>
    </row>
    <row r="6" spans="1:22" x14ac:dyDescent="0.2">
      <c r="A6" s="1" t="s">
        <v>25</v>
      </c>
      <c r="B6" s="7">
        <f t="shared" si="0"/>
        <v>45542.423784722225</v>
      </c>
      <c r="C6" s="8">
        <f t="shared" si="4"/>
        <v>45542.423784722225</v>
      </c>
      <c r="D6" s="9">
        <f t="shared" si="5"/>
        <v>0.42378472222480923</v>
      </c>
      <c r="E6" s="1" t="s">
        <v>14</v>
      </c>
      <c r="F6" s="1" t="s">
        <v>26</v>
      </c>
      <c r="G6" s="1" t="str">
        <f t="shared" si="6"/>
        <v>Ugo</v>
      </c>
      <c r="H6" s="1" t="s">
        <v>27</v>
      </c>
      <c r="I6" s="1" t="str">
        <f t="shared" si="7"/>
        <v>Igwe</v>
      </c>
      <c r="J6" s="1" t="str">
        <f t="shared" si="1"/>
        <v>Ugo Igwe</v>
      </c>
      <c r="K6" s="1" t="str">
        <f t="shared" si="2"/>
        <v>Unique</v>
      </c>
      <c r="L6" s="1" t="str">
        <f t="shared" si="3"/>
        <v>ugoigwe@3mtt.com</v>
      </c>
      <c r="M6" s="1" t="s">
        <v>21</v>
      </c>
      <c r="N6" s="1" t="str">
        <f t="shared" si="8"/>
        <v>Male</v>
      </c>
      <c r="O6" s="1">
        <v>11</v>
      </c>
      <c r="P6" s="1">
        <v>14</v>
      </c>
      <c r="Q6" s="1">
        <v>52</v>
      </c>
      <c r="R6" s="2" cm="1">
        <f t="array" ref="R6">IF(AND(ISNUMBER(O6:Q6),SUM(O6:Q6)&lt;100),SUM(O6:Q6),"No Score")</f>
        <v>77</v>
      </c>
      <c r="S6" t="str" cm="1">
        <f t="array" ref="S6">_xlfn.IFS(AND(R6 &gt;=91,R6 &lt;=100),"A+",AND(R6 &gt;=71,R6 &lt;=90),"A",AND(R6 &gt;=61,R6 &lt;=70),"B",AND(R6 &gt;=51,R6 &lt;=60),"C",AND(R6 &gt;=40,R6 &lt;=50),"D",R6 &lt;40,"F",R6="No Score","No Grade",OR(R6&gt;100,R6&lt;0),"Invalid score")</f>
        <v>A</v>
      </c>
      <c r="T6" t="str" cm="1">
        <f t="array" ref="T6">_xlfn.IFS(S6="A+","Distinction",S6="A","Excellent", S6="B","Credit",S6="C","Very Good", S6="D","Good",S6="F","Poor",OR(S6="No Grade",S6="Invalid Score"),"No Remark")</f>
        <v>Excellent</v>
      </c>
    </row>
    <row r="7" spans="1:22" x14ac:dyDescent="0.2">
      <c r="A7" s="1" t="s">
        <v>28</v>
      </c>
      <c r="B7" s="7">
        <f t="shared" si="0"/>
        <v>45542.424768518518</v>
      </c>
      <c r="C7" s="8">
        <f t="shared" si="4"/>
        <v>45542.424768518518</v>
      </c>
      <c r="D7" s="9">
        <f t="shared" si="5"/>
        <v>0.42476851851824904</v>
      </c>
      <c r="E7" s="1" t="s">
        <v>14</v>
      </c>
      <c r="F7" s="1" t="s">
        <v>29</v>
      </c>
      <c r="G7" s="1" t="str">
        <f t="shared" si="6"/>
        <v>Ade</v>
      </c>
      <c r="H7" s="1" t="s">
        <v>30</v>
      </c>
      <c r="I7" s="1" t="str">
        <f t="shared" si="7"/>
        <v>Lawani</v>
      </c>
      <c r="J7" s="1" t="str">
        <f t="shared" si="1"/>
        <v>Ade Lawani</v>
      </c>
      <c r="K7" s="1" t="str">
        <f t="shared" si="2"/>
        <v>Unique</v>
      </c>
      <c r="L7" s="1" t="str">
        <f t="shared" si="3"/>
        <v>adelawani@3mtt.com</v>
      </c>
      <c r="M7" s="1" t="s">
        <v>21</v>
      </c>
      <c r="N7" s="1" t="str">
        <f t="shared" si="8"/>
        <v>Male</v>
      </c>
      <c r="O7" s="1">
        <v>9</v>
      </c>
      <c r="P7" s="1">
        <v>7</v>
      </c>
      <c r="Q7" s="1">
        <v>35</v>
      </c>
      <c r="R7" s="2" cm="1">
        <f t="array" ref="R7">IF(AND(ISNUMBER(O7:Q7),SUM(O7:Q7)&lt;100),SUM(O7:Q7),"No Score")</f>
        <v>51</v>
      </c>
      <c r="S7" t="str" cm="1">
        <f t="array" ref="S7">_xlfn.IFS(AND(R7 &gt;=91,R7 &lt;=100),"A+",AND(R7 &gt;=71,R7 &lt;=90),"A",AND(R7 &gt;=61,R7 &lt;=70),"B",AND(R7 &gt;=51,R7 &lt;=60),"C",AND(R7 &gt;=40,R7 &lt;=50),"D",R7 &lt;40,"F",R7="No Score","No Grade",OR(R7&gt;100,R7&lt;0),"Invalid score")</f>
        <v>C</v>
      </c>
      <c r="T7" t="str" cm="1">
        <f t="array" ref="T7">_xlfn.IFS(S7="A+","Distinction",S7="A","Excellent", S7="B","Credit",S7="C","Very Good", S7="D","Good",S7="F","Poor",OR(S7="No Grade",S7="Invalid Score"),"No Remark")</f>
        <v>Very Good</v>
      </c>
    </row>
    <row r="8" spans="1:22" x14ac:dyDescent="0.2">
      <c r="A8" s="1" t="s">
        <v>31</v>
      </c>
      <c r="B8" s="7">
        <f t="shared" si="0"/>
        <v>45542.470312500001</v>
      </c>
      <c r="C8" s="8">
        <f t="shared" si="4"/>
        <v>45542.470312500001</v>
      </c>
      <c r="D8" s="9">
        <f t="shared" si="5"/>
        <v>0.47031250000145519</v>
      </c>
      <c r="E8" s="1" t="s">
        <v>32</v>
      </c>
      <c r="F8" s="1" t="s">
        <v>33</v>
      </c>
      <c r="G8" s="1" t="str">
        <f t="shared" si="6"/>
        <v>Ben</v>
      </c>
      <c r="H8" s="1" t="s">
        <v>34</v>
      </c>
      <c r="I8" s="1" t="str">
        <f t="shared" si="7"/>
        <v>Dumbari</v>
      </c>
      <c r="J8" s="1" t="str">
        <f t="shared" si="1"/>
        <v>Ben Dumbari</v>
      </c>
      <c r="K8" s="1" t="str">
        <f t="shared" si="2"/>
        <v>Unique</v>
      </c>
      <c r="L8" s="1" t="str">
        <f t="shared" si="3"/>
        <v>bendumbari@3mtt.com</v>
      </c>
      <c r="M8" s="1" t="s">
        <v>35</v>
      </c>
      <c r="N8" s="1" t="str">
        <f t="shared" si="8"/>
        <v>Male</v>
      </c>
      <c r="O8" s="1">
        <v>20</v>
      </c>
      <c r="P8" s="1">
        <v>10</v>
      </c>
      <c r="Q8" s="1">
        <v>40</v>
      </c>
      <c r="R8" s="2" cm="1">
        <f t="array" ref="R8">IF(AND(ISNUMBER(O8:Q8),SUM(O8:Q8)&lt;100),SUM(O8:Q8),"No Score")</f>
        <v>70</v>
      </c>
      <c r="S8" t="str" cm="1">
        <f t="array" ref="S8">_xlfn.IFS(AND(R8 &gt;=91,R8 &lt;=100),"A+",AND(R8 &gt;=71,R8 &lt;=90),"A",AND(R8 &gt;=61,R8 &lt;=70),"B",AND(R8 &gt;=51,R8 &lt;=60),"C",AND(R8 &gt;=40,R8 &lt;=50),"D",R8 &lt;40,"F",R8="No Score","No Grade",OR(R8&gt;100,R8&lt;0),"Invalid score")</f>
        <v>B</v>
      </c>
      <c r="T8" t="str" cm="1">
        <f t="array" ref="T8">_xlfn.IFS(S8="A+","Distinction",S8="A","Excellent", S8="B","Credit",S8="C","Very Good", S8="D","Good",S8="F","Poor",OR(S8="No Grade",S8="Invalid Score"),"No Remark")</f>
        <v>Credit</v>
      </c>
    </row>
    <row r="9" spans="1:22" x14ac:dyDescent="0.2">
      <c r="A9" s="1" t="s">
        <v>36</v>
      </c>
      <c r="B9" s="7">
        <f t="shared" si="0"/>
        <v>45542.477476851855</v>
      </c>
      <c r="C9" s="8">
        <f t="shared" si="4"/>
        <v>45542.477476851855</v>
      </c>
      <c r="D9" s="9">
        <f t="shared" si="5"/>
        <v>0.47747685185458977</v>
      </c>
      <c r="E9" s="1" t="s">
        <v>32</v>
      </c>
      <c r="F9" s="1" t="s">
        <v>37</v>
      </c>
      <c r="G9" s="1" t="str">
        <f t="shared" si="6"/>
        <v>Musa</v>
      </c>
      <c r="H9" s="1" t="s">
        <v>38</v>
      </c>
      <c r="I9" s="1" t="str">
        <f t="shared" si="7"/>
        <v>Aliyu</v>
      </c>
      <c r="J9" s="1" t="str">
        <f t="shared" si="1"/>
        <v>Musa Aliyu</v>
      </c>
      <c r="K9" s="1" t="str">
        <f t="shared" si="2"/>
        <v>Unique</v>
      </c>
      <c r="L9" s="1" t="str">
        <f t="shared" si="3"/>
        <v>musaaliyu@3mtt.com</v>
      </c>
      <c r="M9" s="1" t="s">
        <v>35</v>
      </c>
      <c r="N9" s="1" t="str">
        <f t="shared" si="8"/>
        <v>Male</v>
      </c>
      <c r="O9" s="1">
        <v>15</v>
      </c>
      <c r="P9" s="1">
        <v>19</v>
      </c>
      <c r="Q9" s="1">
        <v>53</v>
      </c>
      <c r="R9" s="2" cm="1">
        <f t="array" ref="R9">IF(AND(ISNUMBER(O9:Q9),SUM(O9:Q9)&lt;100),SUM(O9:Q9),"No Score")</f>
        <v>87</v>
      </c>
      <c r="S9" t="str" cm="1">
        <f t="array" ref="S9">_xlfn.IFS(AND(R9 &gt;=91,R9 &lt;=100),"A+",AND(R9 &gt;=71,R9 &lt;=90),"A",AND(R9 &gt;=61,R9 &lt;=70),"B",AND(R9 &gt;=51,R9 &lt;=60),"C",AND(R9 &gt;=40,R9 &lt;=50),"D",R9 &lt;40,"F",R9="No Score","No Grade",OR(R9&gt;100,R9&lt;0),"Invalid score")</f>
        <v>A</v>
      </c>
      <c r="T9" t="str" cm="1">
        <f t="array" ref="T9">_xlfn.IFS(S9="A+","Distinction",S9="A","Excellent", S9="B","Credit",S9="C","Very Good", S9="D","Good",S9="F","Poor",OR(S9="No Grade",S9="Invalid Score"),"No Remark")</f>
        <v>Excellent</v>
      </c>
    </row>
    <row r="10" spans="1:22" x14ac:dyDescent="0.2">
      <c r="A10" s="1" t="s">
        <v>39</v>
      </c>
      <c r="B10" s="7">
        <f t="shared" si="0"/>
        <v>45542.477951388886</v>
      </c>
      <c r="C10" s="8">
        <f t="shared" si="4"/>
        <v>45542.477951388886</v>
      </c>
      <c r="D10" s="9">
        <f t="shared" si="5"/>
        <v>0.47795138888614019</v>
      </c>
      <c r="E10" s="1" t="s">
        <v>32</v>
      </c>
      <c r="F10" s="1" t="s">
        <v>40</v>
      </c>
      <c r="G10" s="1" t="str">
        <f t="shared" si="6"/>
        <v>Ken</v>
      </c>
      <c r="H10" s="1" t="s">
        <v>41</v>
      </c>
      <c r="I10" s="1" t="str">
        <f t="shared" si="7"/>
        <v>Nwachukwu</v>
      </c>
      <c r="J10" s="1" t="str">
        <f t="shared" si="1"/>
        <v>Ken Nwachukwu</v>
      </c>
      <c r="K10" s="1" t="str">
        <f t="shared" si="2"/>
        <v>Unique</v>
      </c>
      <c r="L10" s="1" t="str">
        <f t="shared" si="3"/>
        <v>kennwachukwu@3mtt.com</v>
      </c>
      <c r="M10" s="1" t="s">
        <v>42</v>
      </c>
      <c r="N10" s="1" t="str">
        <f t="shared" si="8"/>
        <v>Female</v>
      </c>
      <c r="O10" s="1">
        <v>16</v>
      </c>
      <c r="P10" s="1">
        <v>16</v>
      </c>
      <c r="Q10" s="1">
        <v>55</v>
      </c>
      <c r="R10" s="2" cm="1">
        <f t="array" ref="R10">IF(AND(ISNUMBER(O10:Q10),SUM(O10:Q10)&lt;100),SUM(O10:Q10),"No Score")</f>
        <v>87</v>
      </c>
      <c r="S10" t="str" cm="1">
        <f t="array" ref="S10">_xlfn.IFS(AND(R10 &gt;=91,R10 &lt;=100),"A+",AND(R10 &gt;=71,R10 &lt;=90),"A",AND(R10 &gt;=61,R10 &lt;=70),"B",AND(R10 &gt;=51,R10 &lt;=60),"C",AND(R10 &gt;=40,R10 &lt;=50),"D",R10 &lt;40,"F",R10="No Score","No Grade",OR(R10&gt;100,R10&lt;0),"Invalid score")</f>
        <v>A</v>
      </c>
      <c r="T10" t="str" cm="1">
        <f t="array" ref="T10">_xlfn.IFS(S10="A+","Distinction",S10="A","Excellent", S10="B","Credit",S10="C","Very Good", S10="D","Good",S10="F","Poor",OR(S10="No Grade",S10="Invalid Score"),"No Remark")</f>
        <v>Excellent</v>
      </c>
    </row>
    <row r="11" spans="1:22" x14ac:dyDescent="0.2">
      <c r="A11" s="1" t="s">
        <v>43</v>
      </c>
      <c r="B11" s="7">
        <f t="shared" si="0"/>
        <v>45542.478645833333</v>
      </c>
      <c r="C11" s="8">
        <f t="shared" si="4"/>
        <v>45542.478645833333</v>
      </c>
      <c r="D11" s="9">
        <f t="shared" si="5"/>
        <v>0.47864583333284827</v>
      </c>
      <c r="E11" s="1" t="s">
        <v>32</v>
      </c>
      <c r="F11" s="1" t="s">
        <v>44</v>
      </c>
      <c r="G11" s="1" t="str">
        <f t="shared" si="6"/>
        <v>Adeola</v>
      </c>
      <c r="H11" s="1" t="s">
        <v>45</v>
      </c>
      <c r="I11" s="1" t="str">
        <f t="shared" si="7"/>
        <v>Taiwo</v>
      </c>
      <c r="J11" s="1" t="str">
        <f t="shared" si="1"/>
        <v>Adeola Taiwo</v>
      </c>
      <c r="K11" s="1" t="str">
        <f t="shared" si="2"/>
        <v>Unique</v>
      </c>
      <c r="L11" s="1" t="str">
        <f t="shared" si="3"/>
        <v>adeolataiwo@3mtt.com</v>
      </c>
      <c r="M11" s="1" t="s">
        <v>42</v>
      </c>
      <c r="N11" s="1" t="str">
        <f t="shared" si="8"/>
        <v>Female</v>
      </c>
      <c r="O11" s="1">
        <v>17</v>
      </c>
      <c r="P11" s="1">
        <v>20</v>
      </c>
      <c r="Q11" s="1">
        <v>58</v>
      </c>
      <c r="R11" s="2" cm="1">
        <f t="array" ref="R11">IF(AND(ISNUMBER(O11:Q11),SUM(O11:Q11)&lt;100),SUM(O11:Q11),"No Score")</f>
        <v>95</v>
      </c>
      <c r="S11" t="str" cm="1">
        <f t="array" ref="S11">_xlfn.IFS(AND(R11 &gt;=91,R11 &lt;=100),"A+",AND(R11 &gt;=71,R11 &lt;=90),"A",AND(R11 &gt;=61,R11 &lt;=70),"B",AND(R11 &gt;=51,R11 &lt;=60),"C",AND(R11 &gt;=40,R11 &lt;=50),"D",R11 &lt;40,"F",R11="No Score","No Grade",OR(R11&gt;100,R11&lt;0),"Invalid score")</f>
        <v>A+</v>
      </c>
      <c r="T11" t="str" cm="1">
        <f t="array" ref="T11">_xlfn.IFS(S11="A+","Distinction",S11="A","Excellent", S11="B","Credit",S11="C","Very Good", S11="D","Good",S11="F","Poor",OR(S11="No Grade",S11="Invalid Score"),"No Remark")</f>
        <v>Distinction</v>
      </c>
    </row>
    <row r="12" spans="1:22" x14ac:dyDescent="0.2">
      <c r="A12" s="1" t="s">
        <v>46</v>
      </c>
      <c r="B12" s="7">
        <f t="shared" si="0"/>
        <v>45542.479085648149</v>
      </c>
      <c r="C12" s="8">
        <f t="shared" si="4"/>
        <v>45542.479085648149</v>
      </c>
      <c r="D12" s="9">
        <f t="shared" si="5"/>
        <v>0.47908564814861165</v>
      </c>
      <c r="E12" s="1" t="s">
        <v>32</v>
      </c>
      <c r="F12" s="1" t="s">
        <v>47</v>
      </c>
      <c r="G12" s="1" t="str">
        <f t="shared" si="6"/>
        <v>John</v>
      </c>
      <c r="H12" s="1" t="s">
        <v>48</v>
      </c>
      <c r="I12" s="1" t="str">
        <f t="shared" si="7"/>
        <v>Jumbo</v>
      </c>
      <c r="J12" s="1" t="str">
        <f t="shared" si="1"/>
        <v>John Jumbo</v>
      </c>
      <c r="K12" s="1" t="str">
        <f t="shared" si="2"/>
        <v>Unique</v>
      </c>
      <c r="L12" s="1" t="str">
        <f t="shared" si="3"/>
        <v>johnjumbo@3mtt.com</v>
      </c>
      <c r="M12" s="1" t="s">
        <v>35</v>
      </c>
      <c r="N12" s="1" t="str">
        <f t="shared" si="8"/>
        <v>Male</v>
      </c>
      <c r="O12" s="1">
        <v>15</v>
      </c>
      <c r="P12" s="1">
        <v>16</v>
      </c>
      <c r="Q12" s="1">
        <v>20</v>
      </c>
      <c r="R12" s="2" cm="1">
        <f t="array" ref="R12">IF(AND(ISNUMBER(O12:Q12),SUM(O12:Q12)&lt;100),SUM(O12:Q12),"No Score")</f>
        <v>51</v>
      </c>
      <c r="S12" t="str" cm="1">
        <f t="array" ref="S12">_xlfn.IFS(AND(R12 &gt;=91,R12 &lt;=100),"A+",AND(R12 &gt;=71,R12 &lt;=90),"A",AND(R12 &gt;=61,R12 &lt;=70),"B",AND(R12 &gt;=51,R12 &lt;=60),"C",AND(R12 &gt;=40,R12 &lt;=50),"D",R12 &lt;40,"F",R12="No Score","No Grade",OR(R12&gt;100,R12&lt;0),"Invalid score")</f>
        <v>C</v>
      </c>
      <c r="T12" t="str" cm="1">
        <f t="array" ref="T12">_xlfn.IFS(S12="A+","Distinction",S12="A","Excellent", S12="B","Credit",S12="C","Very Good", S12="D","Good",S12="F","Poor",OR(S12="No Grade",S12="Invalid Score"),"No Remark")</f>
        <v>Very Good</v>
      </c>
    </row>
    <row r="13" spans="1:22" x14ac:dyDescent="0.2">
      <c r="A13" s="1" t="s">
        <v>49</v>
      </c>
      <c r="B13" s="7">
        <f t="shared" si="0"/>
        <v>45542.540983796294</v>
      </c>
      <c r="C13" s="8">
        <f t="shared" si="4"/>
        <v>45542.540983796294</v>
      </c>
      <c r="D13" s="9">
        <f t="shared" si="5"/>
        <v>0.54098379629431292</v>
      </c>
      <c r="E13" s="1" t="s">
        <v>50</v>
      </c>
      <c r="F13" s="1" t="s">
        <v>51</v>
      </c>
      <c r="G13" s="1" t="str">
        <f t="shared" si="6"/>
        <v>Festus</v>
      </c>
      <c r="H13" s="1" t="s">
        <v>52</v>
      </c>
      <c r="I13" s="1" t="str">
        <f t="shared" si="7"/>
        <v>David</v>
      </c>
      <c r="J13" s="1" t="str">
        <f t="shared" si="1"/>
        <v>Festus David</v>
      </c>
      <c r="K13" s="1" t="str">
        <f t="shared" si="2"/>
        <v>Unique</v>
      </c>
      <c r="L13" s="1" t="str">
        <f t="shared" si="3"/>
        <v>festusdavid@3mtt.com</v>
      </c>
      <c r="M13" s="1" t="s">
        <v>53</v>
      </c>
      <c r="N13" s="1" t="str">
        <f t="shared" si="8"/>
        <v xml:space="preserve">Male </v>
      </c>
      <c r="O13" s="1">
        <v>18</v>
      </c>
      <c r="P13" s="1">
        <v>16</v>
      </c>
      <c r="Q13" s="1">
        <v>48</v>
      </c>
      <c r="R13" s="2" cm="1">
        <f t="array" ref="R13">IF(AND(ISNUMBER(O13:Q13),SUM(O13:Q13)&lt;100),SUM(O13:Q13),"No Score")</f>
        <v>82</v>
      </c>
      <c r="S13" t="str" cm="1">
        <f t="array" ref="S13">_xlfn.IFS(AND(R13 &gt;=91,R13 &lt;=100),"A+",AND(R13 &gt;=71,R13 &lt;=90),"A",AND(R13 &gt;=61,R13 &lt;=70),"B",AND(R13 &gt;=51,R13 &lt;=60),"C",AND(R13 &gt;=40,R13 &lt;=50),"D",R13 &lt;40,"F",R13="No Score","No Grade",OR(R13&gt;100,R13&lt;0),"Invalid score")</f>
        <v>A</v>
      </c>
      <c r="T13" t="str" cm="1">
        <f t="array" ref="T13">_xlfn.IFS(S13="A+","Distinction",S13="A","Excellent", S13="B","Credit",S13="C","Very Good", S13="D","Good",S13="F","Poor",OR(S13="No Grade",S13="Invalid Score"),"No Remark")</f>
        <v>Excellent</v>
      </c>
    </row>
    <row r="14" spans="1:22" x14ac:dyDescent="0.2">
      <c r="A14" s="1" t="s">
        <v>54</v>
      </c>
      <c r="B14" s="7">
        <f t="shared" si="0"/>
        <v>45542.541331018518</v>
      </c>
      <c r="C14" s="8">
        <f t="shared" si="4"/>
        <v>45542.541331018518</v>
      </c>
      <c r="D14" s="9">
        <f t="shared" si="5"/>
        <v>0.54133101851766696</v>
      </c>
      <c r="E14" s="1" t="s">
        <v>50</v>
      </c>
      <c r="F14" s="1" t="s">
        <v>55</v>
      </c>
      <c r="G14" s="1" t="str">
        <f t="shared" si="6"/>
        <v>Anna</v>
      </c>
      <c r="H14" s="1" t="s">
        <v>56</v>
      </c>
      <c r="I14" s="1" t="str">
        <f t="shared" si="7"/>
        <v>Smith</v>
      </c>
      <c r="J14" s="1" t="str">
        <f t="shared" si="1"/>
        <v>Anna Smith</v>
      </c>
      <c r="K14" s="1" t="str">
        <f t="shared" si="2"/>
        <v>Unique</v>
      </c>
      <c r="L14" s="1" t="str">
        <f t="shared" si="3"/>
        <v>annasmith@3mtt.com</v>
      </c>
      <c r="M14" s="1" t="s">
        <v>17</v>
      </c>
      <c r="N14" s="1" t="str">
        <f t="shared" si="8"/>
        <v xml:space="preserve">Female </v>
      </c>
      <c r="O14" s="1">
        <v>12</v>
      </c>
      <c r="P14" s="1">
        <v>14</v>
      </c>
      <c r="Q14" s="1">
        <v>35</v>
      </c>
      <c r="R14" s="2" cm="1">
        <f t="array" ref="R14">IF(AND(ISNUMBER(O14:Q14),SUM(O14:Q14)&lt;100),SUM(O14:Q14),"No Score")</f>
        <v>61</v>
      </c>
      <c r="S14" t="str" cm="1">
        <f t="array" ref="S14">_xlfn.IFS(AND(R14 &gt;=91,R14 &lt;=100),"A+",AND(R14 &gt;=71,R14 &lt;=90),"A",AND(R14 &gt;=61,R14 &lt;=70),"B",AND(R14 &gt;=51,R14 &lt;=60),"C",AND(R14 &gt;=40,R14 &lt;=50),"D",R14 &lt;40,"F",R14="No Score","No Grade",OR(R14&gt;100,R14&lt;0),"Invalid score")</f>
        <v>B</v>
      </c>
      <c r="T14" t="str" cm="1">
        <f t="array" ref="T14">_xlfn.IFS(S14="A+","Distinction",S14="A","Excellent", S14="B","Credit",S14="C","Very Good", S14="D","Good",S14="F","Poor",OR(S14="No Grade",S14="Invalid Score"),"No Remark")</f>
        <v>Credit</v>
      </c>
    </row>
    <row r="15" spans="1:22" x14ac:dyDescent="0.2">
      <c r="A15" s="1" t="s">
        <v>57</v>
      </c>
      <c r="B15" s="7">
        <f t="shared" si="0"/>
        <v>45542.541655092595</v>
      </c>
      <c r="C15" s="8">
        <f t="shared" si="4"/>
        <v>45542.541655092595</v>
      </c>
      <c r="D15" s="9">
        <f t="shared" si="5"/>
        <v>0.54165509259473765</v>
      </c>
      <c r="E15" s="1" t="s">
        <v>50</v>
      </c>
      <c r="F15" s="1" t="s">
        <v>52</v>
      </c>
      <c r="G15" s="1" t="str">
        <f t="shared" si="6"/>
        <v>David</v>
      </c>
      <c r="H15" s="1" t="s">
        <v>58</v>
      </c>
      <c r="I15" s="1" t="str">
        <f t="shared" si="7"/>
        <v>Gregory</v>
      </c>
      <c r="J15" s="1" t="str">
        <f t="shared" si="1"/>
        <v>David Gregory</v>
      </c>
      <c r="K15" s="1" t="str">
        <f t="shared" si="2"/>
        <v>Unique</v>
      </c>
      <c r="L15" s="1" t="str">
        <f t="shared" si="3"/>
        <v>davidgregory@3mtt.com</v>
      </c>
      <c r="M15" s="1" t="s">
        <v>21</v>
      </c>
      <c r="N15" s="1" t="str">
        <f t="shared" si="8"/>
        <v>Male</v>
      </c>
      <c r="O15" s="1">
        <v>15</v>
      </c>
      <c r="P15" s="1">
        <v>15</v>
      </c>
      <c r="Q15" s="1">
        <v>38</v>
      </c>
      <c r="R15" s="2" cm="1">
        <f t="array" ref="R15">IF(AND(ISNUMBER(O15:Q15),SUM(O15:Q15)&lt;100),SUM(O15:Q15),"No Score")</f>
        <v>68</v>
      </c>
      <c r="S15" t="str" cm="1">
        <f t="array" ref="S15">_xlfn.IFS(AND(R15 &gt;=91,R15 &lt;=100),"A+",AND(R15 &gt;=71,R15 &lt;=90),"A",AND(R15 &gt;=61,R15 &lt;=70),"B",AND(R15 &gt;=51,R15 &lt;=60),"C",AND(R15 &gt;=40,R15 &lt;=50),"D",R15 &lt;40,"F",R15="No Score","No Grade",OR(R15&gt;100,R15&lt;0),"Invalid score")</f>
        <v>B</v>
      </c>
      <c r="T15" t="str" cm="1">
        <f t="array" ref="T15">_xlfn.IFS(S15="A+","Distinction",S15="A","Excellent", S15="B","Credit",S15="C","Very Good", S15="D","Good",S15="F","Poor",OR(S15="No Grade",S15="Invalid Score"),"No Remark")</f>
        <v>Credit</v>
      </c>
    </row>
    <row r="16" spans="1:22" x14ac:dyDescent="0.2">
      <c r="A16" s="1" t="s">
        <v>59</v>
      </c>
      <c r="B16" s="7">
        <f t="shared" si="0"/>
        <v>45542.542175925926</v>
      </c>
      <c r="C16" s="8">
        <f t="shared" si="4"/>
        <v>45542.542175925926</v>
      </c>
      <c r="D16" s="9">
        <f t="shared" si="5"/>
        <v>0.54217592592613073</v>
      </c>
      <c r="E16" s="1" t="s">
        <v>50</v>
      </c>
      <c r="F16" s="1" t="s">
        <v>60</v>
      </c>
      <c r="G16" s="1" t="str">
        <f t="shared" si="6"/>
        <v>Grant</v>
      </c>
      <c r="H16" s="1" t="s">
        <v>61</v>
      </c>
      <c r="I16" s="1" t="str">
        <f t="shared" si="7"/>
        <v>Jackson</v>
      </c>
      <c r="J16" s="1" t="str">
        <f t="shared" si="1"/>
        <v>Grant Jackson</v>
      </c>
      <c r="K16" s="1" t="str">
        <f t="shared" si="2"/>
        <v>Unique</v>
      </c>
      <c r="L16" s="1" t="str">
        <f t="shared" si="3"/>
        <v>grantjackson@3mtt.com</v>
      </c>
      <c r="M16" s="1" t="s">
        <v>21</v>
      </c>
      <c r="N16" s="1" t="str">
        <f t="shared" si="8"/>
        <v>Male</v>
      </c>
      <c r="O16" s="1">
        <v>19</v>
      </c>
      <c r="P16" s="1">
        <v>17</v>
      </c>
      <c r="Q16" s="1">
        <v>51</v>
      </c>
      <c r="R16" s="2" cm="1">
        <f t="array" ref="R16">IF(AND(ISNUMBER(O16:Q16),SUM(O16:Q16)&lt;100),SUM(O16:Q16),"No Score")</f>
        <v>87</v>
      </c>
      <c r="S16" t="str" cm="1">
        <f t="array" ref="S16">_xlfn.IFS(AND(R16 &gt;=91,R16 &lt;=100),"A+",AND(R16 &gt;=71,R16 &lt;=90),"A",AND(R16 &gt;=61,R16 &lt;=70),"B",AND(R16 &gt;=51,R16 &lt;=60),"C",AND(R16 &gt;=40,R16 &lt;=50),"D",R16 &lt;40,"F",R16="No Score","No Grade",OR(R16&gt;100,R16&lt;0),"Invalid score")</f>
        <v>A</v>
      </c>
      <c r="T16" t="str" cm="1">
        <f t="array" ref="T16">_xlfn.IFS(S16="A+","Distinction",S16="A","Excellent", S16="B","Credit",S16="C","Very Good", S16="D","Good",S16="F","Poor",OR(S16="No Grade",S16="Invalid Score"),"No Remark")</f>
        <v>Excellent</v>
      </c>
    </row>
    <row r="17" spans="1:20" x14ac:dyDescent="0.2">
      <c r="A17" s="1" t="s">
        <v>62</v>
      </c>
      <c r="B17" s="7">
        <f t="shared" si="0"/>
        <v>45542.542500000003</v>
      </c>
      <c r="C17" s="8">
        <f t="shared" si="4"/>
        <v>45542.542500000003</v>
      </c>
      <c r="D17" s="9">
        <f t="shared" si="5"/>
        <v>0.54250000000320142</v>
      </c>
      <c r="E17" s="1" t="s">
        <v>50</v>
      </c>
      <c r="F17" s="1" t="s">
        <v>63</v>
      </c>
      <c r="G17" s="1" t="str">
        <f t="shared" si="6"/>
        <v>Nancy</v>
      </c>
      <c r="H17" s="1" t="s">
        <v>64</v>
      </c>
      <c r="I17" s="1" t="str">
        <f t="shared" si="7"/>
        <v>White</v>
      </c>
      <c r="J17" s="1" t="str">
        <f t="shared" si="1"/>
        <v>Nancy White</v>
      </c>
      <c r="K17" s="1" t="str">
        <f t="shared" si="2"/>
        <v>Unique</v>
      </c>
      <c r="L17" s="1" t="str">
        <f t="shared" si="3"/>
        <v>nancywhite@3mtt.com</v>
      </c>
      <c r="M17" s="1" t="s">
        <v>12</v>
      </c>
      <c r="N17" s="1" t="str">
        <f t="shared" si="8"/>
        <v>Female</v>
      </c>
      <c r="O17" s="1">
        <v>20</v>
      </c>
      <c r="P17" s="1">
        <v>18</v>
      </c>
      <c r="Q17" s="1">
        <v>53</v>
      </c>
      <c r="R17" s="2" cm="1">
        <f t="array" ref="R17">IF(AND(ISNUMBER(O17:Q17),SUM(O17:Q17)&lt;100),SUM(O17:Q17),"No Score")</f>
        <v>91</v>
      </c>
      <c r="S17" t="str" cm="1">
        <f t="array" ref="S17">_xlfn.IFS(AND(R17 &gt;=91,R17 &lt;=100),"A+",AND(R17 &gt;=71,R17 &lt;=90),"A",AND(R17 &gt;=61,R17 &lt;=70),"B",AND(R17 &gt;=51,R17 &lt;=60),"C",AND(R17 &gt;=40,R17 &lt;=50),"D",R17 &lt;40,"F",R17="No Score","No Grade",OR(R17&gt;100,R17&lt;0),"Invalid score")</f>
        <v>A+</v>
      </c>
      <c r="T17" t="str" cm="1">
        <f t="array" ref="T17">_xlfn.IFS(S17="A+","Distinction",S17="A","Excellent", S17="B","Credit",S17="C","Very Good", S17="D","Good",S17="F","Poor",OR(S17="No Grade",S17="Invalid Score"),"No Remark")</f>
        <v>Distinction</v>
      </c>
    </row>
    <row r="18" spans="1:20" x14ac:dyDescent="0.2">
      <c r="A18" s="1" t="s">
        <v>65</v>
      </c>
      <c r="B18" s="7">
        <f t="shared" si="0"/>
        <v>45542.547442129631</v>
      </c>
      <c r="C18" s="8">
        <f t="shared" si="4"/>
        <v>45542.547442129631</v>
      </c>
      <c r="D18" s="9">
        <f t="shared" si="5"/>
        <v>0.54744212963123573</v>
      </c>
      <c r="E18" s="1" t="s">
        <v>66</v>
      </c>
      <c r="F18" s="1" t="s">
        <v>67</v>
      </c>
      <c r="G18" s="1" t="str">
        <f t="shared" si="6"/>
        <v>Johnson</v>
      </c>
      <c r="H18" s="1" t="s">
        <v>68</v>
      </c>
      <c r="I18" s="1" t="str">
        <f t="shared" si="7"/>
        <v>Adekunle</v>
      </c>
      <c r="J18" s="1" t="str">
        <f t="shared" si="1"/>
        <v>Johnson Adekunle</v>
      </c>
      <c r="K18" s="1" t="str">
        <f t="shared" si="2"/>
        <v>Unique</v>
      </c>
      <c r="L18" s="1" t="str">
        <f t="shared" si="3"/>
        <v>johnsonadekunle@3mtt.com</v>
      </c>
      <c r="M18" s="1" t="s">
        <v>21</v>
      </c>
      <c r="N18" s="1" t="str">
        <f t="shared" si="8"/>
        <v>Male</v>
      </c>
      <c r="O18" s="1">
        <v>15</v>
      </c>
      <c r="P18" s="1">
        <v>17</v>
      </c>
      <c r="Q18" s="1">
        <v>49</v>
      </c>
      <c r="R18" s="2" cm="1">
        <f t="array" ref="R18">IF(AND(ISNUMBER(O18:Q18),SUM(O18:Q18)&lt;100),SUM(O18:Q18),"No Score")</f>
        <v>81</v>
      </c>
      <c r="S18" t="str" cm="1">
        <f t="array" ref="S18">_xlfn.IFS(AND(R18 &gt;=91,R18 &lt;=100),"A+",AND(R18 &gt;=71,R18 &lt;=90),"A",AND(R18 &gt;=61,R18 &lt;=70),"B",AND(R18 &gt;=51,R18 &lt;=60),"C",AND(R18 &gt;=40,R18 &lt;=50),"D",R18 &lt;40,"F",R18="No Score","No Grade",OR(R18&gt;100,R18&lt;0),"Invalid score")</f>
        <v>A</v>
      </c>
      <c r="T18" t="str" cm="1">
        <f t="array" ref="T18">_xlfn.IFS(S18="A+","Distinction",S18="A","Excellent", S18="B","Credit",S18="C","Very Good", S18="D","Good",S18="F","Poor",OR(S18="No Grade",S18="Invalid Score"),"No Remark")</f>
        <v>Excellent</v>
      </c>
    </row>
    <row r="19" spans="1:20" x14ac:dyDescent="0.2">
      <c r="A19" s="1" t="s">
        <v>69</v>
      </c>
      <c r="B19" s="7">
        <f t="shared" si="0"/>
        <v>45542.548009259262</v>
      </c>
      <c r="C19" s="8">
        <f t="shared" si="4"/>
        <v>45542.548009259262</v>
      </c>
      <c r="D19" s="9">
        <f t="shared" si="5"/>
        <v>0.54800925926247146</v>
      </c>
      <c r="E19" s="1" t="s">
        <v>66</v>
      </c>
      <c r="F19" s="1" t="s">
        <v>70</v>
      </c>
      <c r="G19" s="1" t="str">
        <f t="shared" si="6"/>
        <v>Sharon</v>
      </c>
      <c r="H19" s="1" t="s">
        <v>71</v>
      </c>
      <c r="I19" s="1" t="str">
        <f t="shared" si="7"/>
        <v>Osemudiamen</v>
      </c>
      <c r="J19" s="1" t="str">
        <f t="shared" si="1"/>
        <v>Sharon Osemudiamen</v>
      </c>
      <c r="K19" s="1" t="str">
        <f t="shared" si="2"/>
        <v>Unique</v>
      </c>
      <c r="L19" s="1" t="str">
        <f t="shared" si="3"/>
        <v>sharonosemudiamen@3mtt.com</v>
      </c>
      <c r="M19" s="1" t="s">
        <v>12</v>
      </c>
      <c r="N19" s="1" t="str">
        <f t="shared" si="8"/>
        <v>Female</v>
      </c>
      <c r="O19" s="1">
        <v>18</v>
      </c>
      <c r="P19" s="1">
        <v>14</v>
      </c>
      <c r="Q19" s="1">
        <v>51</v>
      </c>
      <c r="R19" s="2" cm="1">
        <f t="array" ref="R19">IF(AND(ISNUMBER(O19:Q19),SUM(O19:Q19)&lt;100),SUM(O19:Q19),"No Score")</f>
        <v>83</v>
      </c>
      <c r="S19" t="str" cm="1">
        <f t="array" ref="S19">_xlfn.IFS(AND(R19 &gt;=91,R19 &lt;=100),"A+",AND(R19 &gt;=71,R19 &lt;=90),"A",AND(R19 &gt;=61,R19 &lt;=70),"B",AND(R19 &gt;=51,R19 &lt;=60),"C",AND(R19 &gt;=40,R19 &lt;=50),"D",R19 &lt;40,"F",R19="No Score","No Grade",OR(R19&gt;100,R19&lt;0),"Invalid score")</f>
        <v>A</v>
      </c>
      <c r="T19" t="str" cm="1">
        <f t="array" ref="T19">_xlfn.IFS(S19="A+","Distinction",S19="A","Excellent", S19="B","Credit",S19="C","Very Good", S19="D","Good",S19="F","Poor",OR(S19="No Grade",S19="Invalid Score"),"No Remark")</f>
        <v>Excellent</v>
      </c>
    </row>
    <row r="20" spans="1:20" x14ac:dyDescent="0.2">
      <c r="A20" s="1" t="s">
        <v>72</v>
      </c>
      <c r="B20" s="7">
        <f t="shared" si="0"/>
        <v>45542.549756944441</v>
      </c>
      <c r="C20" s="8">
        <f t="shared" si="4"/>
        <v>45542.549756944441</v>
      </c>
      <c r="D20" s="9">
        <f t="shared" si="5"/>
        <v>0.54975694444146939</v>
      </c>
      <c r="E20" s="1" t="s">
        <v>73</v>
      </c>
      <c r="F20" s="1" t="s">
        <v>74</v>
      </c>
      <c r="G20" s="1" t="str">
        <f t="shared" si="6"/>
        <v>Uche</v>
      </c>
      <c r="H20" s="1" t="s">
        <v>75</v>
      </c>
      <c r="I20" s="1" t="str">
        <f t="shared" si="7"/>
        <v>Sylvanus</v>
      </c>
      <c r="J20" s="1" t="str">
        <f t="shared" si="1"/>
        <v>Uche Sylvanus</v>
      </c>
      <c r="K20" s="1" t="str">
        <f t="shared" si="2"/>
        <v>Unique</v>
      </c>
      <c r="L20" s="1" t="str">
        <f t="shared" si="3"/>
        <v>uchesylvanus@3mtt.com</v>
      </c>
      <c r="M20" s="1" t="s">
        <v>21</v>
      </c>
      <c r="N20" s="1" t="str">
        <f t="shared" si="8"/>
        <v>Male</v>
      </c>
      <c r="O20" s="1">
        <v>13</v>
      </c>
      <c r="P20" s="1">
        <v>16</v>
      </c>
      <c r="Q20" s="1">
        <v>45</v>
      </c>
      <c r="R20" s="2" cm="1">
        <f t="array" ref="R20">IF(AND(ISNUMBER(O20:Q20),SUM(O20:Q20)&lt;100),SUM(O20:Q20),"No Score")</f>
        <v>74</v>
      </c>
      <c r="S20" t="str" cm="1">
        <f t="array" ref="S20">_xlfn.IFS(AND(R20 &gt;=91,R20 &lt;=100),"A+",AND(R20 &gt;=71,R20 &lt;=90),"A",AND(R20 &gt;=61,R20 &lt;=70),"B",AND(R20 &gt;=51,R20 &lt;=60),"C",AND(R20 &gt;=40,R20 &lt;=50),"D",R20 &lt;40,"F",R20="No Score","No Grade",OR(R20&gt;100,R20&lt;0),"Invalid score")</f>
        <v>A</v>
      </c>
      <c r="T20" t="str" cm="1">
        <f t="array" ref="T20">_xlfn.IFS(S20="A+","Distinction",S20="A","Excellent", S20="B","Credit",S20="C","Very Good", S20="D","Good",S20="F","Poor",OR(S20="No Grade",S20="Invalid Score"),"No Remark")</f>
        <v>Excellent</v>
      </c>
    </row>
    <row r="21" spans="1:20" x14ac:dyDescent="0.2">
      <c r="A21" s="1" t="s">
        <v>76</v>
      </c>
      <c r="B21" s="7">
        <f t="shared" si="0"/>
        <v>45542.550856481481</v>
      </c>
      <c r="C21" s="8">
        <f t="shared" si="4"/>
        <v>45542.550856481481</v>
      </c>
      <c r="D21" s="9">
        <f t="shared" si="5"/>
        <v>0.55085648148087785</v>
      </c>
      <c r="E21" s="1" t="s">
        <v>73</v>
      </c>
      <c r="F21" s="1" t="s">
        <v>77</v>
      </c>
      <c r="G21" s="1" t="str">
        <f t="shared" si="6"/>
        <v>Bello</v>
      </c>
      <c r="H21" s="1" t="s">
        <v>78</v>
      </c>
      <c r="I21" s="1" t="str">
        <f t="shared" si="7"/>
        <v>Mustapha</v>
      </c>
      <c r="J21" s="1" t="str">
        <f t="shared" si="1"/>
        <v>Bello Mustapha</v>
      </c>
      <c r="K21" s="1" t="str">
        <f t="shared" si="2"/>
        <v>Unique</v>
      </c>
      <c r="L21" s="1" t="str">
        <f t="shared" si="3"/>
        <v>bellomustapha@3mtt.com</v>
      </c>
      <c r="M21" s="1" t="s">
        <v>21</v>
      </c>
      <c r="N21" s="1" t="str">
        <f t="shared" si="8"/>
        <v>Male</v>
      </c>
      <c r="O21" s="1">
        <v>15</v>
      </c>
      <c r="P21" s="1">
        <v>18</v>
      </c>
      <c r="Q21" s="1">
        <v>50</v>
      </c>
      <c r="R21" s="2" cm="1">
        <f t="array" ref="R21">IF(AND(ISNUMBER(O21:Q21),SUM(O21:Q21)&lt;100),SUM(O21:Q21),"No Score")</f>
        <v>83</v>
      </c>
      <c r="S21" t="str" cm="1">
        <f t="array" ref="S21">_xlfn.IFS(AND(R21 &gt;=91,R21 &lt;=100),"A+",AND(R21 &gt;=71,R21 &lt;=90),"A",AND(R21 &gt;=61,R21 &lt;=70),"B",AND(R21 &gt;=51,R21 &lt;=60),"C",AND(R21 &gt;=40,R21 &lt;=50),"D",R21 &lt;40,"F",R21="No Score","No Grade",OR(R21&gt;100,R21&lt;0),"Invalid score")</f>
        <v>A</v>
      </c>
      <c r="T21" t="str" cm="1">
        <f t="array" ref="T21">_xlfn.IFS(S21="A+","Distinction",S21="A","Excellent", S21="B","Credit",S21="C","Very Good", S21="D","Good",S21="F","Poor",OR(S21="No Grade",S21="Invalid Score"),"No Remark")</f>
        <v>Excellent</v>
      </c>
    </row>
    <row r="22" spans="1:20" x14ac:dyDescent="0.2">
      <c r="A22" s="1" t="s">
        <v>79</v>
      </c>
      <c r="B22" s="7">
        <f t="shared" si="0"/>
        <v>45542.551377314812</v>
      </c>
      <c r="C22" s="8">
        <f t="shared" si="4"/>
        <v>45542.551377314812</v>
      </c>
      <c r="D22" s="9">
        <f t="shared" si="5"/>
        <v>0.55137731481227092</v>
      </c>
      <c r="E22" s="1" t="s">
        <v>73</v>
      </c>
      <c r="F22" s="1" t="s">
        <v>80</v>
      </c>
      <c r="G22" s="1" t="str">
        <f t="shared" si="6"/>
        <v>Iniobong</v>
      </c>
      <c r="H22" s="1" t="s">
        <v>81</v>
      </c>
      <c r="I22" s="1" t="str">
        <f t="shared" si="7"/>
        <v>Edet</v>
      </c>
      <c r="J22" s="1" t="str">
        <f t="shared" si="1"/>
        <v>Iniobong Edet</v>
      </c>
      <c r="K22" s="1" t="str">
        <f t="shared" si="2"/>
        <v>Unique</v>
      </c>
      <c r="L22" s="1" t="str">
        <f t="shared" si="3"/>
        <v>iniobongedet@3mtt.com</v>
      </c>
      <c r="M22" s="1" t="s">
        <v>12</v>
      </c>
      <c r="N22" s="1" t="str">
        <f t="shared" si="8"/>
        <v>Female</v>
      </c>
      <c r="O22" s="1">
        <v>18</v>
      </c>
      <c r="P22" s="1">
        <v>17</v>
      </c>
      <c r="Q22" s="1">
        <v>48</v>
      </c>
      <c r="R22" s="2" cm="1">
        <f t="array" ref="R22">IF(AND(ISNUMBER(O22:Q22),SUM(O22:Q22)&lt;100),SUM(O22:Q22),"No Score")</f>
        <v>83</v>
      </c>
      <c r="S22" t="str" cm="1">
        <f t="array" ref="S22">_xlfn.IFS(AND(R22 &gt;=91,R22 &lt;=100),"A+",AND(R22 &gt;=71,R22 &lt;=90),"A",AND(R22 &gt;=61,R22 &lt;=70),"B",AND(R22 &gt;=51,R22 &lt;=60),"C",AND(R22 &gt;=40,R22 &lt;=50),"D",R22 &lt;40,"F",R22="No Score","No Grade",OR(R22&gt;100,R22&lt;0),"Invalid score")</f>
        <v>A</v>
      </c>
      <c r="T22" t="str" cm="1">
        <f t="array" ref="T22">_xlfn.IFS(S22="A+","Distinction",S22="A","Excellent", S22="B","Credit",S22="C","Very Good", S22="D","Good",S22="F","Poor",OR(S22="No Grade",S22="Invalid Score"),"No Remark")</f>
        <v>Excellent</v>
      </c>
    </row>
    <row r="23" spans="1:20" x14ac:dyDescent="0.2">
      <c r="A23" s="1" t="s">
        <v>82</v>
      </c>
      <c r="B23" s="7">
        <f t="shared" si="0"/>
        <v>45542.577916666669</v>
      </c>
      <c r="C23" s="8">
        <f t="shared" si="4"/>
        <v>45542.577916666669</v>
      </c>
      <c r="D23" s="9">
        <f t="shared" si="5"/>
        <v>0.57791666666889796</v>
      </c>
      <c r="E23" s="1" t="s">
        <v>83</v>
      </c>
      <c r="F23" s="1" t="s">
        <v>84</v>
      </c>
      <c r="G23" s="1" t="str">
        <f t="shared" si="6"/>
        <v>Julian</v>
      </c>
      <c r="H23" s="1" t="s">
        <v>85</v>
      </c>
      <c r="I23" s="1" t="str">
        <f t="shared" si="7"/>
        <v>Jules</v>
      </c>
      <c r="J23" s="1" t="str">
        <f t="shared" si="1"/>
        <v>Julian Jules</v>
      </c>
      <c r="K23" s="1" t="str">
        <f t="shared" si="2"/>
        <v>Unique</v>
      </c>
      <c r="L23" s="1" t="str">
        <f t="shared" si="3"/>
        <v>julianjules@3mtt.com</v>
      </c>
      <c r="M23" s="1" t="s">
        <v>17</v>
      </c>
      <c r="N23" s="1" t="str">
        <f t="shared" si="8"/>
        <v xml:space="preserve">Female </v>
      </c>
      <c r="O23" s="1">
        <v>18</v>
      </c>
      <c r="P23" s="1">
        <v>20</v>
      </c>
      <c r="Q23" s="1">
        <v>57</v>
      </c>
      <c r="R23" s="2" cm="1">
        <f t="array" ref="R23">IF(AND(ISNUMBER(O23:Q23),SUM(O23:Q23)&lt;100),SUM(O23:Q23),"No Score")</f>
        <v>95</v>
      </c>
      <c r="S23" t="str" cm="1">
        <f t="array" ref="S23">_xlfn.IFS(AND(R23 &gt;=91,R23 &lt;=100),"A+",AND(R23 &gt;=71,R23 &lt;=90),"A",AND(R23 &gt;=61,R23 &lt;=70),"B",AND(R23 &gt;=51,R23 &lt;=60),"C",AND(R23 &gt;=40,R23 &lt;=50),"D",R23 &lt;40,"F",R23="No Score","No Grade",OR(R23&gt;100,R23&lt;0),"Invalid score")</f>
        <v>A+</v>
      </c>
      <c r="T23" t="str" cm="1">
        <f t="array" ref="T23">_xlfn.IFS(S23="A+","Distinction",S23="A","Excellent", S23="B","Credit",S23="C","Very Good", S23="D","Good",S23="F","Poor",OR(S23="No Grade",S23="Invalid Score"),"No Remark")</f>
        <v>Distinction</v>
      </c>
    </row>
    <row r="24" spans="1:20" x14ac:dyDescent="0.2">
      <c r="A24" s="1" t="s">
        <v>86</v>
      </c>
      <c r="B24" s="7">
        <f t="shared" si="0"/>
        <v>45542.586967592593</v>
      </c>
      <c r="C24" s="8">
        <f t="shared" si="4"/>
        <v>45542.586967592593</v>
      </c>
      <c r="D24" s="9">
        <f t="shared" si="5"/>
        <v>0.58696759259328246</v>
      </c>
      <c r="E24" s="1" t="s">
        <v>87</v>
      </c>
      <c r="F24" s="1" t="s">
        <v>88</v>
      </c>
      <c r="G24" s="1" t="str">
        <f t="shared" si="6"/>
        <v>Chidi</v>
      </c>
      <c r="H24" s="1" t="s">
        <v>89</v>
      </c>
      <c r="I24" s="1" t="str">
        <f t="shared" si="7"/>
        <v>Okoh</v>
      </c>
      <c r="J24" s="1" t="str">
        <f t="shared" si="1"/>
        <v>Chidi Okoh</v>
      </c>
      <c r="K24" s="1" t="str">
        <f t="shared" si="2"/>
        <v>Unique</v>
      </c>
      <c r="L24" s="1" t="str">
        <f t="shared" si="3"/>
        <v>chidiokoh@3mtt.com</v>
      </c>
      <c r="M24" s="1" t="s">
        <v>21</v>
      </c>
      <c r="N24" s="1" t="str">
        <f t="shared" si="8"/>
        <v>Male</v>
      </c>
      <c r="O24" s="1">
        <v>18</v>
      </c>
      <c r="P24" s="1">
        <v>15</v>
      </c>
      <c r="Q24" s="1">
        <v>50</v>
      </c>
      <c r="R24" s="2" cm="1">
        <f t="array" ref="R24">IF(AND(ISNUMBER(O24:Q24),SUM(O24:Q24)&lt;100),SUM(O24:Q24),"No Score")</f>
        <v>83</v>
      </c>
      <c r="S24" t="str" cm="1">
        <f t="array" ref="S24">_xlfn.IFS(AND(R24 &gt;=91,R24 &lt;=100),"A+",AND(R24 &gt;=71,R24 &lt;=90),"A",AND(R24 &gt;=61,R24 &lt;=70),"B",AND(R24 &gt;=51,R24 &lt;=60),"C",AND(R24 &gt;=40,R24 &lt;=50),"D",R24 &lt;40,"F",R24="No Score","No Grade",OR(R24&gt;100,R24&lt;0),"Invalid score")</f>
        <v>A</v>
      </c>
      <c r="T24" t="str" cm="1">
        <f t="array" ref="T24">_xlfn.IFS(S24="A+","Distinction",S24="A","Excellent", S24="B","Credit",S24="C","Very Good", S24="D","Good",S24="F","Poor",OR(S24="No Grade",S24="Invalid Score"),"No Remark")</f>
        <v>Excellent</v>
      </c>
    </row>
    <row r="25" spans="1:20" x14ac:dyDescent="0.2">
      <c r="A25" s="1" t="s">
        <v>90</v>
      </c>
      <c r="B25" s="7">
        <f t="shared" si="0"/>
        <v>45542.588310185187</v>
      </c>
      <c r="C25" s="8">
        <f t="shared" si="4"/>
        <v>45542.588310185187</v>
      </c>
      <c r="D25" s="9">
        <f t="shared" si="5"/>
        <v>0.58831018518685596</v>
      </c>
      <c r="E25" s="1" t="s">
        <v>87</v>
      </c>
      <c r="F25" s="1" t="s">
        <v>91</v>
      </c>
      <c r="G25" s="1" t="str">
        <f t="shared" si="6"/>
        <v>Joy</v>
      </c>
      <c r="H25" s="1" t="s">
        <v>92</v>
      </c>
      <c r="I25" s="1" t="str">
        <f t="shared" si="7"/>
        <v>Andrew</v>
      </c>
      <c r="J25" s="1" t="str">
        <f t="shared" si="1"/>
        <v>Joy Andrew</v>
      </c>
      <c r="K25" s="1" t="str">
        <f t="shared" si="2"/>
        <v>Unique</v>
      </c>
      <c r="L25" s="1" t="str">
        <f t="shared" si="3"/>
        <v>joyandrew@3mtt.com</v>
      </c>
      <c r="M25" s="1" t="s">
        <v>17</v>
      </c>
      <c r="N25" s="1" t="str">
        <f t="shared" si="8"/>
        <v xml:space="preserve">Female </v>
      </c>
      <c r="O25" s="1">
        <v>10</v>
      </c>
      <c r="P25" s="1">
        <v>12</v>
      </c>
      <c r="Q25" s="1">
        <v>45</v>
      </c>
      <c r="R25" s="2" cm="1">
        <f t="array" ref="R25">IF(AND(ISNUMBER(O25:Q25),SUM(O25:Q25)&lt;100),SUM(O25:Q25),"No Score")</f>
        <v>67</v>
      </c>
      <c r="S25" t="str" cm="1">
        <f t="array" ref="S25">_xlfn.IFS(AND(R25 &gt;=91,R25 &lt;=100),"A+",AND(R25 &gt;=71,R25 &lt;=90),"A",AND(R25 &gt;=61,R25 &lt;=70),"B",AND(R25 &gt;=51,R25 &lt;=60),"C",AND(R25 &gt;=40,R25 &lt;=50),"D",R25 &lt;40,"F",R25="No Score","No Grade",OR(R25&gt;100,R25&lt;0),"Invalid score")</f>
        <v>B</v>
      </c>
      <c r="T25" t="str" cm="1">
        <f t="array" ref="T25">_xlfn.IFS(S25="A+","Distinction",S25="A","Excellent", S25="B","Credit",S25="C","Very Good", S25="D","Good",S25="F","Poor",OR(S25="No Grade",S25="Invalid Score"),"No Remark")</f>
        <v>Credit</v>
      </c>
    </row>
    <row r="26" spans="1:20" x14ac:dyDescent="0.2">
      <c r="A26" s="1" t="s">
        <v>93</v>
      </c>
      <c r="B26" s="7">
        <f t="shared" si="0"/>
        <v>45542.58929398148</v>
      </c>
      <c r="C26" s="8">
        <f t="shared" si="4"/>
        <v>45542.58929398148</v>
      </c>
      <c r="D26" s="9">
        <f t="shared" si="5"/>
        <v>0.58929398148029577</v>
      </c>
      <c r="E26" s="1" t="s">
        <v>87</v>
      </c>
      <c r="F26" s="1" t="s">
        <v>94</v>
      </c>
      <c r="G26" s="1" t="str">
        <f t="shared" si="6"/>
        <v>Shiloh</v>
      </c>
      <c r="H26" s="1" t="s">
        <v>95</v>
      </c>
      <c r="I26" s="1" t="str">
        <f t="shared" si="7"/>
        <v>Ofure</v>
      </c>
      <c r="J26" s="1" t="str">
        <f t="shared" si="1"/>
        <v>Shiloh Ofure</v>
      </c>
      <c r="K26" s="1" t="str">
        <f t="shared" si="2"/>
        <v>Unique</v>
      </c>
      <c r="L26" s="1" t="str">
        <f t="shared" si="3"/>
        <v>shilohofure@3mtt.com</v>
      </c>
      <c r="M26" s="1" t="s">
        <v>17</v>
      </c>
      <c r="N26" s="1" t="str">
        <f t="shared" si="8"/>
        <v xml:space="preserve">Female </v>
      </c>
      <c r="O26" s="1">
        <v>18</v>
      </c>
      <c r="P26" s="1">
        <v>18</v>
      </c>
      <c r="Q26" s="1">
        <v>55</v>
      </c>
      <c r="R26" s="2" cm="1">
        <f t="array" ref="R26">IF(AND(ISNUMBER(O26:Q26),SUM(O26:Q26)&lt;100),SUM(O26:Q26),"No Score")</f>
        <v>91</v>
      </c>
      <c r="S26" t="str" cm="1">
        <f t="array" ref="S26">_xlfn.IFS(AND(R26 &gt;=91,R26 &lt;=100),"A+",AND(R26 &gt;=71,R26 &lt;=90),"A",AND(R26 &gt;=61,R26 &lt;=70),"B",AND(R26 &gt;=51,R26 &lt;=60),"C",AND(R26 &gt;=40,R26 &lt;=50),"D",R26 &lt;40,"F",R26="No Score","No Grade",OR(R26&gt;100,R26&lt;0),"Invalid score")</f>
        <v>A+</v>
      </c>
      <c r="T26" t="str" cm="1">
        <f t="array" ref="T26">_xlfn.IFS(S26="A+","Distinction",S26="A","Excellent", S26="B","Credit",S26="C","Very Good", S26="D","Good",S26="F","Poor",OR(S26="No Grade",S26="Invalid Score"),"No Remark")</f>
        <v>Distinction</v>
      </c>
    </row>
    <row r="27" spans="1:20" x14ac:dyDescent="0.2">
      <c r="A27" s="1" t="s">
        <v>96</v>
      </c>
      <c r="B27" s="7">
        <f t="shared" si="0"/>
        <v>45542.589884259258</v>
      </c>
      <c r="C27" s="8">
        <f t="shared" si="4"/>
        <v>45542.589884259258</v>
      </c>
      <c r="D27" s="9">
        <f t="shared" si="5"/>
        <v>0.58988425925781485</v>
      </c>
      <c r="E27" s="1" t="s">
        <v>87</v>
      </c>
      <c r="F27" s="1" t="s">
        <v>97</v>
      </c>
      <c r="G27" s="1" t="str">
        <f t="shared" si="6"/>
        <v>Faith</v>
      </c>
      <c r="H27" s="1" t="s">
        <v>98</v>
      </c>
      <c r="I27" s="1" t="str">
        <f t="shared" si="7"/>
        <v>Ugoh</v>
      </c>
      <c r="J27" s="1" t="str">
        <f t="shared" si="1"/>
        <v>Faith Ugoh</v>
      </c>
      <c r="K27" s="1" t="str">
        <f t="shared" si="2"/>
        <v>Unique</v>
      </c>
      <c r="L27" s="1" t="str">
        <f t="shared" si="3"/>
        <v>faithugoh@3mtt.com</v>
      </c>
      <c r="M27" s="1" t="s">
        <v>17</v>
      </c>
      <c r="N27" s="1" t="str">
        <f t="shared" si="8"/>
        <v xml:space="preserve">Female </v>
      </c>
      <c r="O27" s="1">
        <v>12</v>
      </c>
      <c r="P27" s="1">
        <v>16</v>
      </c>
      <c r="Q27" s="1">
        <v>40</v>
      </c>
      <c r="R27" s="2" cm="1">
        <f t="array" ref="R27">IF(AND(ISNUMBER(O27:Q27),SUM(O27:Q27)&lt;100),SUM(O27:Q27),"No Score")</f>
        <v>68</v>
      </c>
      <c r="S27" t="str" cm="1">
        <f t="array" ref="S27">_xlfn.IFS(AND(R27 &gt;=91,R27 &lt;=100),"A+",AND(R27 &gt;=71,R27 &lt;=90),"A",AND(R27 &gt;=61,R27 &lt;=70),"B",AND(R27 &gt;=51,R27 &lt;=60),"C",AND(R27 &gt;=40,R27 &lt;=50),"D",R27 &lt;40,"F",R27="No Score","No Grade",OR(R27&gt;100,R27&lt;0),"Invalid score")</f>
        <v>B</v>
      </c>
      <c r="T27" t="str" cm="1">
        <f t="array" ref="T27">_xlfn.IFS(S27="A+","Distinction",S27="A","Excellent", S27="B","Credit",S27="C","Very Good", S27="D","Good",S27="F","Poor",OR(S27="No Grade",S27="Invalid Score"),"No Remark")</f>
        <v>Credit</v>
      </c>
    </row>
    <row r="28" spans="1:20" x14ac:dyDescent="0.2">
      <c r="A28" s="1" t="s">
        <v>99</v>
      </c>
      <c r="B28" s="7">
        <f t="shared" si="0"/>
        <v>45542.59033564815</v>
      </c>
      <c r="C28" s="8">
        <f t="shared" si="4"/>
        <v>45542.59033564815</v>
      </c>
      <c r="D28" s="9">
        <f t="shared" si="5"/>
        <v>0.59033564815035788</v>
      </c>
      <c r="E28" s="1" t="s">
        <v>87</v>
      </c>
      <c r="F28" s="1" t="s">
        <v>100</v>
      </c>
      <c r="G28" s="1" t="str">
        <f t="shared" si="6"/>
        <v>Paul</v>
      </c>
      <c r="H28" s="1" t="s">
        <v>101</v>
      </c>
      <c r="I28" s="1" t="str">
        <f t="shared" si="7"/>
        <v>James</v>
      </c>
      <c r="J28" s="1" t="str">
        <f t="shared" si="1"/>
        <v>Paul James</v>
      </c>
      <c r="K28" s="1" t="str">
        <f t="shared" si="2"/>
        <v>Unique</v>
      </c>
      <c r="L28" s="1" t="str">
        <f t="shared" si="3"/>
        <v>pauljames@3mtt.com</v>
      </c>
      <c r="M28" s="1" t="s">
        <v>21</v>
      </c>
      <c r="N28" s="1" t="str">
        <f t="shared" si="8"/>
        <v>Male</v>
      </c>
      <c r="O28" s="1">
        <v>16</v>
      </c>
      <c r="P28" s="1">
        <v>18</v>
      </c>
      <c r="Q28" s="1">
        <v>50</v>
      </c>
      <c r="R28" s="2" cm="1">
        <f t="array" ref="R28">IF(AND(ISNUMBER(O28:Q28),SUM(O28:Q28)&lt;100),SUM(O28:Q28),"No Score")</f>
        <v>84</v>
      </c>
      <c r="S28" t="str" cm="1">
        <f t="array" ref="S28">_xlfn.IFS(AND(R28 &gt;=91,R28 &lt;=100),"A+",AND(R28 &gt;=71,R28 &lt;=90),"A",AND(R28 &gt;=61,R28 &lt;=70),"B",AND(R28 &gt;=51,R28 &lt;=60),"C",AND(R28 &gt;=40,R28 &lt;=50),"D",R28 &lt;40,"F",R28="No Score","No Grade",OR(R28&gt;100,R28&lt;0),"Invalid score")</f>
        <v>A</v>
      </c>
      <c r="T28" t="str" cm="1">
        <f t="array" ref="T28">_xlfn.IFS(S28="A+","Distinction",S28="A","Excellent", S28="B","Credit",S28="C","Very Good", S28="D","Good",S28="F","Poor",OR(S28="No Grade",S28="Invalid Score"),"No Remark")</f>
        <v>Excellent</v>
      </c>
    </row>
    <row r="29" spans="1:20" x14ac:dyDescent="0.2">
      <c r="A29" s="1" t="s">
        <v>102</v>
      </c>
      <c r="B29" s="7">
        <f t="shared" si="0"/>
        <v>45542.591874999998</v>
      </c>
      <c r="C29" s="23">
        <f t="shared" si="4"/>
        <v>45542.591874999998</v>
      </c>
      <c r="D29" s="24">
        <f t="shared" si="5"/>
        <v>0.59187499999825377</v>
      </c>
      <c r="E29" s="25" t="s">
        <v>87</v>
      </c>
      <c r="F29" s="25" t="s">
        <v>103</v>
      </c>
      <c r="G29" s="25" t="str">
        <f t="shared" si="6"/>
        <v>Wealth</v>
      </c>
      <c r="H29" s="25" t="s">
        <v>104</v>
      </c>
      <c r="I29" s="25" t="str">
        <f t="shared" si="7"/>
        <v>Samuel</v>
      </c>
      <c r="J29" s="25" t="str">
        <f t="shared" si="1"/>
        <v>Wealth Samuel</v>
      </c>
      <c r="K29" s="25" t="str">
        <f t="shared" si="2"/>
        <v>Unique</v>
      </c>
      <c r="L29" s="25" t="str">
        <f t="shared" si="3"/>
        <v>wealthsamuel@3mtt.com</v>
      </c>
      <c r="M29" s="25" t="s">
        <v>17</v>
      </c>
      <c r="N29" s="25" t="str">
        <f t="shared" si="8"/>
        <v xml:space="preserve">Female </v>
      </c>
      <c r="O29" s="25">
        <v>19</v>
      </c>
      <c r="P29" s="25">
        <v>58</v>
      </c>
      <c r="Q29" s="25">
        <v>58</v>
      </c>
      <c r="R29" s="2" t="str" cm="1">
        <f t="array" ref="R29">IF(AND(ISNUMBER(O29:Q29),SUM(O29:Q29)&lt;100),SUM(O29:Q29),"No Score")</f>
        <v>No Score</v>
      </c>
      <c r="S29" s="26" t="str" cm="1">
        <f t="array" ref="S29">_xlfn.IFS(AND(R29 &gt;=91,R29 &lt;=100),"A+",AND(R29 &gt;=71,R29 &lt;=90),"A",AND(R29 &gt;=61,R29 &lt;=70),"B",AND(R29 &gt;=51,R29 &lt;=60),"C",AND(R29 &gt;=40,R29 &lt;=50),"D",R29 &lt;40,"F",R29="No Score","No Grade",OR(R29&gt;100,R29&lt;0),"Invalid score")</f>
        <v>No Grade</v>
      </c>
      <c r="T29" s="26" t="str" cm="1">
        <f t="array" ref="T29">_xlfn.IFS(S29="A+","Distinction",S29="A","Excellent", S29="B","Credit",S29="C","Very Good", S29="D","Good",S29="F","Poor",OR(S29="No Grade",S29="Invalid Score"),"No Remark")</f>
        <v>No Remark</v>
      </c>
    </row>
    <row r="30" spans="1:20" x14ac:dyDescent="0.2">
      <c r="A30" s="1" t="s">
        <v>105</v>
      </c>
      <c r="B30" s="7">
        <f t="shared" si="0"/>
        <v>45542.610451388886</v>
      </c>
      <c r="C30" s="8">
        <f t="shared" si="4"/>
        <v>45542.610451388886</v>
      </c>
      <c r="D30" s="9">
        <f t="shared" si="5"/>
        <v>0.61045138888584916</v>
      </c>
      <c r="E30" s="1" t="s">
        <v>106</v>
      </c>
      <c r="F30" s="1" t="s">
        <v>107</v>
      </c>
      <c r="G30" s="1" t="str">
        <f t="shared" si="6"/>
        <v>Musa</v>
      </c>
      <c r="H30" s="1" t="s">
        <v>108</v>
      </c>
      <c r="I30" s="1" t="str">
        <f t="shared" si="7"/>
        <v>Ibrahim</v>
      </c>
      <c r="J30" s="1" t="str">
        <f t="shared" si="1"/>
        <v>Musa Ibrahim</v>
      </c>
      <c r="K30" s="1" t="str">
        <f t="shared" si="2"/>
        <v>Duplicate</v>
      </c>
      <c r="L30" s="1" t="str">
        <f t="shared" si="3"/>
        <v>musaibrahim@3mtt.com</v>
      </c>
      <c r="M30" s="1" t="s">
        <v>21</v>
      </c>
      <c r="N30" s="1" t="str">
        <f t="shared" si="8"/>
        <v>Male</v>
      </c>
      <c r="O30" s="1">
        <v>15</v>
      </c>
      <c r="P30" s="1">
        <v>14</v>
      </c>
      <c r="Q30" s="1">
        <v>50</v>
      </c>
      <c r="R30" s="2" cm="1">
        <f t="array" ref="R30">IF(AND(ISNUMBER(O30:Q30),SUM(O30:Q30)&lt;100),SUM(O30:Q30),"No Score")</f>
        <v>79</v>
      </c>
      <c r="S30" t="str" cm="1">
        <f t="array" ref="S30">_xlfn.IFS(AND(R30 &gt;=91,R30 &lt;=100),"A+",AND(R30 &gt;=71,R30 &lt;=90),"A",AND(R30 &gt;=61,R30 &lt;=70),"B",AND(R30 &gt;=51,R30 &lt;=60),"C",AND(R30 &gt;=40,R30 &lt;=50),"D",R30 &lt;40,"F",R30="No Score","No Grade",OR(R30&gt;100,R30&lt;0),"Invalid score")</f>
        <v>A</v>
      </c>
      <c r="T30" t="str" cm="1">
        <f t="array" ref="T30">_xlfn.IFS(S30="A+","Distinction",S30="A","Excellent", S30="B","Credit",S30="C","Very Good", S30="D","Good",S30="F","Poor",OR(S30="No Grade",S30="Invalid Score"),"No Remark")</f>
        <v>Excellent</v>
      </c>
    </row>
    <row r="31" spans="1:20" x14ac:dyDescent="0.2">
      <c r="A31" s="1" t="s">
        <v>109</v>
      </c>
      <c r="B31" s="7">
        <f t="shared" si="0"/>
        <v>45542.611157407409</v>
      </c>
      <c r="C31" s="8">
        <f t="shared" si="4"/>
        <v>45542.611157407409</v>
      </c>
      <c r="D31" s="9">
        <f t="shared" si="5"/>
        <v>0.61115740740933688</v>
      </c>
      <c r="E31" s="1" t="s">
        <v>106</v>
      </c>
      <c r="F31" s="1" t="s">
        <v>110</v>
      </c>
      <c r="G31" s="1" t="str">
        <f t="shared" si="6"/>
        <v>Sa'Adatu</v>
      </c>
      <c r="H31" s="1" t="s">
        <v>111</v>
      </c>
      <c r="I31" s="1" t="str">
        <f t="shared" si="7"/>
        <v>Lawal</v>
      </c>
      <c r="J31" s="1" t="str">
        <f t="shared" si="1"/>
        <v>Sa'Adatu Lawal</v>
      </c>
      <c r="K31" s="1" t="str">
        <f t="shared" si="2"/>
        <v>Unique</v>
      </c>
      <c r="L31" s="1" t="str">
        <f t="shared" si="3"/>
        <v>sa'adatulawal@3mtt.com</v>
      </c>
      <c r="M31" s="1" t="s">
        <v>12</v>
      </c>
      <c r="N31" s="1" t="str">
        <f t="shared" si="8"/>
        <v>Female</v>
      </c>
      <c r="O31" s="1">
        <v>12</v>
      </c>
      <c r="P31" s="1">
        <v>10</v>
      </c>
      <c r="Q31" s="1">
        <v>40</v>
      </c>
      <c r="R31" s="2" cm="1">
        <f t="array" ref="R31">IF(AND(ISNUMBER(O31:Q31),SUM(O31:Q31)&lt;100),SUM(O31:Q31),"No Score")</f>
        <v>62</v>
      </c>
      <c r="S31" t="str" cm="1">
        <f t="array" ref="S31">_xlfn.IFS(AND(R31 &gt;=91,R31 &lt;=100),"A+",AND(R31 &gt;=71,R31 &lt;=90),"A",AND(R31 &gt;=61,R31 &lt;=70),"B",AND(R31 &gt;=51,R31 &lt;=60),"C",AND(R31 &gt;=40,R31 &lt;=50),"D",R31 &lt;40,"F",R31="No Score","No Grade",OR(R31&gt;100,R31&lt;0),"Invalid score")</f>
        <v>B</v>
      </c>
      <c r="T31" t="str" cm="1">
        <f t="array" ref="T31">_xlfn.IFS(S31="A+","Distinction",S31="A","Excellent", S31="B","Credit",S31="C","Very Good", S31="D","Good",S31="F","Poor",OR(S31="No Grade",S31="Invalid Score"),"No Remark")</f>
        <v>Credit</v>
      </c>
    </row>
    <row r="32" spans="1:20" x14ac:dyDescent="0.2">
      <c r="A32" s="1" t="s">
        <v>112</v>
      </c>
      <c r="B32" s="7">
        <f t="shared" si="0"/>
        <v>45542.611898148149</v>
      </c>
      <c r="C32" s="8">
        <f t="shared" si="4"/>
        <v>45542.611898148149</v>
      </c>
      <c r="D32" s="9">
        <f t="shared" si="5"/>
        <v>0.61189814814861165</v>
      </c>
      <c r="E32" s="1" t="s">
        <v>106</v>
      </c>
      <c r="F32" s="1" t="s">
        <v>113</v>
      </c>
      <c r="G32" s="1" t="str">
        <f t="shared" si="6"/>
        <v>Hauwa</v>
      </c>
      <c r="H32" s="1" t="s">
        <v>114</v>
      </c>
      <c r="I32" s="1" t="str">
        <f t="shared" si="7"/>
        <v>Bichi</v>
      </c>
      <c r="J32" s="1" t="str">
        <f t="shared" si="1"/>
        <v>Hauwa Bichi</v>
      </c>
      <c r="K32" s="1" t="str">
        <f t="shared" si="2"/>
        <v>Unique</v>
      </c>
      <c r="L32" s="1" t="str">
        <f t="shared" si="3"/>
        <v>hauwabichi@3mtt.com</v>
      </c>
      <c r="M32" s="1" t="s">
        <v>12</v>
      </c>
      <c r="N32" s="1" t="str">
        <f t="shared" si="8"/>
        <v>Female</v>
      </c>
      <c r="O32" s="1">
        <v>16</v>
      </c>
      <c r="P32" s="1">
        <v>18</v>
      </c>
      <c r="Q32" s="1">
        <v>55</v>
      </c>
      <c r="R32" s="2" cm="1">
        <f t="array" ref="R32">IF(AND(ISNUMBER(O32:Q32),SUM(O32:Q32)&lt;100),SUM(O32:Q32),"No Score")</f>
        <v>89</v>
      </c>
      <c r="S32" t="str" cm="1">
        <f t="array" ref="S32">_xlfn.IFS(AND(R32 &gt;=91,R32 &lt;=100),"A+",AND(R32 &gt;=71,R32 &lt;=90),"A",AND(R32 &gt;=61,R32 &lt;=70),"B",AND(R32 &gt;=51,R32 &lt;=60),"C",AND(R32 &gt;=40,R32 &lt;=50),"D",R32 &lt;40,"F",R32="No Score","No Grade",OR(R32&gt;100,R32&lt;0),"Invalid score")</f>
        <v>A</v>
      </c>
      <c r="T32" t="str" cm="1">
        <f t="array" ref="T32">_xlfn.IFS(S32="A+","Distinction",S32="A","Excellent", S32="B","Credit",S32="C","Very Good", S32="D","Good",S32="F","Poor",OR(S32="No Grade",S32="Invalid Score"),"No Remark")</f>
        <v>Excellent</v>
      </c>
    </row>
    <row r="33" spans="1:20" x14ac:dyDescent="0.2">
      <c r="A33" s="1" t="s">
        <v>115</v>
      </c>
      <c r="B33" s="7">
        <f t="shared" si="0"/>
        <v>45542.612407407411</v>
      </c>
      <c r="C33" s="8">
        <f t="shared" si="4"/>
        <v>45542.612407407411</v>
      </c>
      <c r="D33" s="9">
        <f t="shared" si="5"/>
        <v>0.61240740741050104</v>
      </c>
      <c r="E33" s="1" t="s">
        <v>106</v>
      </c>
      <c r="F33" s="1" t="s">
        <v>23</v>
      </c>
      <c r="G33" s="1" t="str">
        <f t="shared" si="6"/>
        <v>Zainab</v>
      </c>
      <c r="H33" s="1" t="s">
        <v>116</v>
      </c>
      <c r="I33" s="1" t="str">
        <f t="shared" si="7"/>
        <v>Adamu</v>
      </c>
      <c r="J33" s="1" t="str">
        <f t="shared" si="1"/>
        <v>Zainab Adamu</v>
      </c>
      <c r="K33" s="1" t="str">
        <f t="shared" si="2"/>
        <v>Unique</v>
      </c>
      <c r="L33" s="1" t="str">
        <f t="shared" si="3"/>
        <v>zainabadamu@3mtt.com</v>
      </c>
      <c r="M33" s="1" t="s">
        <v>12</v>
      </c>
      <c r="N33" s="1" t="str">
        <f t="shared" si="8"/>
        <v>Female</v>
      </c>
      <c r="O33" s="1">
        <v>18</v>
      </c>
      <c r="P33" s="1">
        <v>19</v>
      </c>
      <c r="Q33" s="1">
        <v>58</v>
      </c>
      <c r="R33" s="2" cm="1">
        <f t="array" ref="R33">IF(AND(ISNUMBER(O33:Q33),SUM(O33:Q33)&lt;100),SUM(O33:Q33),"No Score")</f>
        <v>95</v>
      </c>
      <c r="S33" t="str" cm="1">
        <f t="array" ref="S33">_xlfn.IFS(AND(R33 &gt;=91,R33 &lt;=100),"A+",AND(R33 &gt;=71,R33 &lt;=90),"A",AND(R33 &gt;=61,R33 &lt;=70),"B",AND(R33 &gt;=51,R33 &lt;=60),"C",AND(R33 &gt;=40,R33 &lt;=50),"D",R33 &lt;40,"F",R33="No Score","No Grade",OR(R33&gt;100,R33&lt;0),"Invalid score")</f>
        <v>A+</v>
      </c>
      <c r="T33" t="str" cm="1">
        <f t="array" ref="T33">_xlfn.IFS(S33="A+","Distinction",S33="A","Excellent", S33="B","Credit",S33="C","Very Good", S33="D","Good",S33="F","Poor",OR(S33="No Grade",S33="Invalid Score"),"No Remark")</f>
        <v>Distinction</v>
      </c>
    </row>
    <row r="34" spans="1:20" x14ac:dyDescent="0.2">
      <c r="A34" s="1" t="s">
        <v>117</v>
      </c>
      <c r="B34" s="7">
        <f t="shared" si="0"/>
        <v>45542.612754629627</v>
      </c>
      <c r="C34" s="8">
        <f t="shared" si="4"/>
        <v>45542.612754629627</v>
      </c>
      <c r="D34" s="9">
        <f t="shared" si="5"/>
        <v>0.61275462962657912</v>
      </c>
      <c r="E34" s="1" t="s">
        <v>118</v>
      </c>
      <c r="F34" s="1" t="s">
        <v>119</v>
      </c>
      <c r="G34" s="1" t="str">
        <f t="shared" si="6"/>
        <v>Saliu</v>
      </c>
      <c r="H34" s="1" t="s">
        <v>78</v>
      </c>
      <c r="I34" s="1" t="str">
        <f t="shared" si="7"/>
        <v>Mustapha</v>
      </c>
      <c r="J34" s="1" t="str">
        <f t="shared" si="1"/>
        <v>Saliu Mustapha</v>
      </c>
      <c r="K34" s="1" t="str">
        <f t="shared" si="2"/>
        <v>Unique</v>
      </c>
      <c r="L34" s="1" t="str">
        <f t="shared" ref="L34:L65" si="9">_xlfn.CONCAT(LOWER(G34),LOWER(I34),"@3mtt.com")</f>
        <v>saliumustapha@3mtt.com</v>
      </c>
      <c r="M34" s="1" t="s">
        <v>21</v>
      </c>
      <c r="N34" s="1" t="str">
        <f t="shared" si="8"/>
        <v>Male</v>
      </c>
      <c r="O34" s="1">
        <v>16</v>
      </c>
      <c r="P34" s="1">
        <v>18</v>
      </c>
      <c r="Q34" s="1">
        <v>45</v>
      </c>
      <c r="R34" s="2" cm="1">
        <f t="array" ref="R34">IF(AND(ISNUMBER(O34:Q34),SUM(O34:Q34)&lt;100),SUM(O34:Q34),"No Score")</f>
        <v>79</v>
      </c>
      <c r="S34" t="str" cm="1">
        <f t="array" ref="S34">_xlfn.IFS(AND(R34 &gt;=91,R34 &lt;=100),"A+",AND(R34 &gt;=71,R34 &lt;=90),"A",AND(R34 &gt;=61,R34 &lt;=70),"B",AND(R34 &gt;=51,R34 &lt;=60),"C",AND(R34 &gt;=40,R34 &lt;=50),"D",R34 &lt;40,"F",R34="No Score","No Grade",OR(R34&gt;100,R34&lt;0),"Invalid score")</f>
        <v>A</v>
      </c>
      <c r="T34" t="str" cm="1">
        <f t="array" ref="T34">_xlfn.IFS(S34="A+","Distinction",S34="A","Excellent", S34="B","Credit",S34="C","Very Good", S34="D","Good",S34="F","Poor",OR(S34="No Grade",S34="Invalid Score"),"No Remark")</f>
        <v>Excellent</v>
      </c>
    </row>
    <row r="35" spans="1:20" x14ac:dyDescent="0.2">
      <c r="A35" s="1" t="s">
        <v>120</v>
      </c>
      <c r="B35" s="7">
        <f t="shared" si="0"/>
        <v>45542.612951388888</v>
      </c>
      <c r="C35" s="8">
        <f t="shared" si="4"/>
        <v>45542.612951388888</v>
      </c>
      <c r="D35" s="9">
        <f t="shared" si="5"/>
        <v>0.61295138888817746</v>
      </c>
      <c r="E35" s="1" t="s">
        <v>106</v>
      </c>
      <c r="F35" s="1" t="s">
        <v>121</v>
      </c>
      <c r="G35" s="1" t="str">
        <f t="shared" si="6"/>
        <v>Haruna</v>
      </c>
      <c r="H35" s="1" t="s">
        <v>122</v>
      </c>
      <c r="I35" s="1" t="str">
        <f t="shared" si="7"/>
        <v>Ningi</v>
      </c>
      <c r="J35" s="1" t="str">
        <f t="shared" si="1"/>
        <v>Haruna Ningi</v>
      </c>
      <c r="K35" s="1" t="str">
        <f t="shared" si="2"/>
        <v>Unique</v>
      </c>
      <c r="L35" s="1" t="str">
        <f t="shared" si="9"/>
        <v>harunaningi@3mtt.com</v>
      </c>
      <c r="M35" s="1" t="s">
        <v>21</v>
      </c>
      <c r="N35" s="1" t="str">
        <f t="shared" si="8"/>
        <v>Male</v>
      </c>
      <c r="O35" s="1">
        <v>16</v>
      </c>
      <c r="P35" s="1">
        <v>14</v>
      </c>
      <c r="Q35" s="1">
        <v>45</v>
      </c>
      <c r="R35" s="2" cm="1">
        <f t="array" ref="R35">IF(AND(ISNUMBER(O35:Q35),SUM(O35:Q35)&lt;100),SUM(O35:Q35),"No Score")</f>
        <v>75</v>
      </c>
      <c r="S35" t="str" cm="1">
        <f t="array" ref="S35">_xlfn.IFS(AND(R35 &gt;=91,R35 &lt;=100),"A+",AND(R35 &gt;=71,R35 &lt;=90),"A",AND(R35 &gt;=61,R35 &lt;=70),"B",AND(R35 &gt;=51,R35 &lt;=60),"C",AND(R35 &gt;=40,R35 &lt;=50),"D",R35 &lt;40,"F",R35="No Score","No Grade",OR(R35&gt;100,R35&lt;0),"Invalid score")</f>
        <v>A</v>
      </c>
      <c r="T35" t="str" cm="1">
        <f t="array" ref="T35">_xlfn.IFS(S35="A+","Distinction",S35="A","Excellent", S35="B","Credit",S35="C","Very Good", S35="D","Good",S35="F","Poor",OR(S35="No Grade",S35="Invalid Score"),"No Remark")</f>
        <v>Excellent</v>
      </c>
    </row>
    <row r="36" spans="1:20" x14ac:dyDescent="0.2">
      <c r="A36" s="1" t="s">
        <v>123</v>
      </c>
      <c r="B36" s="7">
        <f t="shared" si="0"/>
        <v>45542.613275462965</v>
      </c>
      <c r="C36" s="8">
        <f t="shared" si="4"/>
        <v>45542.613275462965</v>
      </c>
      <c r="D36" s="9">
        <f t="shared" si="5"/>
        <v>0.61327546296524815</v>
      </c>
      <c r="E36" s="1" t="s">
        <v>118</v>
      </c>
      <c r="F36" s="1" t="s">
        <v>124</v>
      </c>
      <c r="G36" s="1" t="str">
        <f t="shared" si="6"/>
        <v>Aderemi</v>
      </c>
      <c r="H36" s="1" t="s">
        <v>125</v>
      </c>
      <c r="I36" s="1" t="str">
        <f t="shared" si="7"/>
        <v>Opeyemi</v>
      </c>
      <c r="J36" s="1" t="str">
        <f t="shared" si="1"/>
        <v>Aderemi Opeyemi</v>
      </c>
      <c r="K36" s="1" t="str">
        <f t="shared" si="2"/>
        <v>Unique</v>
      </c>
      <c r="L36" s="1" t="str">
        <f t="shared" si="9"/>
        <v>aderemiopeyemi@3mtt.com</v>
      </c>
      <c r="M36" s="1" t="s">
        <v>12</v>
      </c>
      <c r="N36" s="1" t="str">
        <f t="shared" si="8"/>
        <v>Female</v>
      </c>
      <c r="O36" s="1">
        <v>16</v>
      </c>
      <c r="P36" s="1">
        <v>18</v>
      </c>
      <c r="Q36" s="1">
        <v>48</v>
      </c>
      <c r="R36" s="2" cm="1">
        <f t="array" ref="R36">IF(AND(ISNUMBER(O36:Q36),SUM(O36:Q36)&lt;100),SUM(O36:Q36),"No Score")</f>
        <v>82</v>
      </c>
      <c r="S36" t="str" cm="1">
        <f t="array" ref="S36">_xlfn.IFS(AND(R36 &gt;=91,R36 &lt;=100),"A+",AND(R36 &gt;=71,R36 &lt;=90),"A",AND(R36 &gt;=61,R36 &lt;=70),"B",AND(R36 &gt;=51,R36 &lt;=60),"C",AND(R36 &gt;=40,R36 &lt;=50),"D",R36 &lt;40,"F",R36="No Score","No Grade",OR(R36&gt;100,R36&lt;0),"Invalid score")</f>
        <v>A</v>
      </c>
      <c r="T36" t="str" cm="1">
        <f t="array" ref="T36">_xlfn.IFS(S36="A+","Distinction",S36="A","Excellent", S36="B","Credit",S36="C","Very Good", S36="D","Good",S36="F","Poor",OR(S36="No Grade",S36="Invalid Score"),"No Remark")</f>
        <v>Excellent</v>
      </c>
    </row>
    <row r="37" spans="1:20" x14ac:dyDescent="0.2">
      <c r="A37" s="1" t="s">
        <v>126</v>
      </c>
      <c r="B37" s="7">
        <f t="shared" si="0"/>
        <v>45542.613807870373</v>
      </c>
      <c r="C37" s="8">
        <f t="shared" si="4"/>
        <v>45542.613807870373</v>
      </c>
      <c r="D37" s="9">
        <f t="shared" si="5"/>
        <v>0.61380787037342088</v>
      </c>
      <c r="E37" s="1" t="s">
        <v>118</v>
      </c>
      <c r="F37" s="1" t="s">
        <v>127</v>
      </c>
      <c r="G37" s="1" t="str">
        <f t="shared" si="6"/>
        <v>Ayodele</v>
      </c>
      <c r="H37" s="1" t="s">
        <v>128</v>
      </c>
      <c r="I37" s="1" t="str">
        <f t="shared" si="7"/>
        <v>Micheal</v>
      </c>
      <c r="J37" s="1" t="str">
        <f t="shared" si="1"/>
        <v>Ayodele Micheal</v>
      </c>
      <c r="K37" s="1" t="str">
        <f t="shared" si="2"/>
        <v>Unique</v>
      </c>
      <c r="L37" s="1" t="str">
        <f t="shared" si="9"/>
        <v>ayodelemicheal@3mtt.com</v>
      </c>
      <c r="M37" s="1" t="s">
        <v>21</v>
      </c>
      <c r="N37" s="1" t="str">
        <f t="shared" si="8"/>
        <v>Male</v>
      </c>
      <c r="O37" s="1">
        <v>17</v>
      </c>
      <c r="P37" s="1">
        <v>19</v>
      </c>
      <c r="Q37" s="1">
        <v>52</v>
      </c>
      <c r="R37" s="2" cm="1">
        <f t="array" ref="R37">IF(AND(ISNUMBER(O37:Q37),SUM(O37:Q37)&lt;100),SUM(O37:Q37),"No Score")</f>
        <v>88</v>
      </c>
      <c r="S37" t="str" cm="1">
        <f t="array" ref="S37">_xlfn.IFS(AND(R37 &gt;=91,R37 &lt;=100),"A+",AND(R37 &gt;=71,R37 &lt;=90),"A",AND(R37 &gt;=61,R37 &lt;=70),"B",AND(R37 &gt;=51,R37 &lt;=60),"C",AND(R37 &gt;=40,R37 &lt;=50),"D",R37 &lt;40,"F",R37="No Score","No Grade",OR(R37&gt;100,R37&lt;0),"Invalid score")</f>
        <v>A</v>
      </c>
      <c r="T37" t="str" cm="1">
        <f t="array" ref="T37">_xlfn.IFS(S37="A+","Distinction",S37="A","Excellent", S37="B","Credit",S37="C","Very Good", S37="D","Good",S37="F","Poor",OR(S37="No Grade",S37="Invalid Score"),"No Remark")</f>
        <v>Excellent</v>
      </c>
    </row>
    <row r="38" spans="1:20" x14ac:dyDescent="0.2">
      <c r="A38" s="1" t="s">
        <v>129</v>
      </c>
      <c r="B38" s="7">
        <f t="shared" si="0"/>
        <v>45542.614236111112</v>
      </c>
      <c r="C38" s="8">
        <f t="shared" si="4"/>
        <v>45542.614236111112</v>
      </c>
      <c r="D38" s="9">
        <f t="shared" si="5"/>
        <v>0.61423611111240461</v>
      </c>
      <c r="E38" s="1" t="s">
        <v>118</v>
      </c>
      <c r="F38" s="1" t="s">
        <v>77</v>
      </c>
      <c r="G38" s="1" t="str">
        <f t="shared" si="6"/>
        <v>Bello</v>
      </c>
      <c r="H38" s="1" t="s">
        <v>130</v>
      </c>
      <c r="I38" s="1" t="str">
        <f t="shared" si="7"/>
        <v>Gabriel</v>
      </c>
      <c r="J38" s="1" t="str">
        <f t="shared" si="1"/>
        <v>Bello Gabriel</v>
      </c>
      <c r="K38" s="1" t="str">
        <f t="shared" si="2"/>
        <v>Unique</v>
      </c>
      <c r="L38" s="1" t="str">
        <f t="shared" si="9"/>
        <v>bellogabriel@3mtt.com</v>
      </c>
      <c r="M38" s="1" t="s">
        <v>21</v>
      </c>
      <c r="N38" s="1" t="str">
        <f t="shared" si="8"/>
        <v>Male</v>
      </c>
      <c r="O38" s="1">
        <v>19</v>
      </c>
      <c r="P38" s="1">
        <v>20</v>
      </c>
      <c r="Q38" s="1">
        <v>55</v>
      </c>
      <c r="R38" s="2" cm="1">
        <f t="array" ref="R38">IF(AND(ISNUMBER(O38:Q38),SUM(O38:Q38)&lt;100),SUM(O38:Q38),"No Score")</f>
        <v>94</v>
      </c>
      <c r="S38" t="str" cm="1">
        <f t="array" ref="S38">_xlfn.IFS(AND(R38 &gt;=91,R38 &lt;=100),"A+",AND(R38 &gt;=71,R38 &lt;=90),"A",AND(R38 &gt;=61,R38 &lt;=70),"B",AND(R38 &gt;=51,R38 &lt;=60),"C",AND(R38 &gt;=40,R38 &lt;=50),"D",R38 &lt;40,"F",R38="No Score","No Grade",OR(R38&gt;100,R38&lt;0),"Invalid score")</f>
        <v>A+</v>
      </c>
      <c r="T38" t="str" cm="1">
        <f t="array" ref="T38">_xlfn.IFS(S38="A+","Distinction",S38="A","Excellent", S38="B","Credit",S38="C","Very Good", S38="D","Good",S38="F","Poor",OR(S38="No Grade",S38="Invalid Score"),"No Remark")</f>
        <v>Distinction</v>
      </c>
    </row>
    <row r="39" spans="1:20" x14ac:dyDescent="0.2">
      <c r="A39" s="1" t="s">
        <v>131</v>
      </c>
      <c r="B39" s="7">
        <f t="shared" si="0"/>
        <v>45542.614641203705</v>
      </c>
      <c r="C39" s="8">
        <f t="shared" si="4"/>
        <v>45542.614641203705</v>
      </c>
      <c r="D39" s="9">
        <f t="shared" si="5"/>
        <v>0.614641203705105</v>
      </c>
      <c r="E39" s="1" t="s">
        <v>132</v>
      </c>
      <c r="F39" s="1" t="s">
        <v>133</v>
      </c>
      <c r="G39" s="1" t="str">
        <f t="shared" si="6"/>
        <v>Jimoh</v>
      </c>
      <c r="H39" s="1" t="s">
        <v>134</v>
      </c>
      <c r="I39" s="1" t="str">
        <f t="shared" si="7"/>
        <v>Aishat</v>
      </c>
      <c r="J39" s="1" t="str">
        <f t="shared" si="1"/>
        <v>Jimoh Aishat</v>
      </c>
      <c r="K39" s="1" t="str">
        <f t="shared" si="2"/>
        <v>Unique</v>
      </c>
      <c r="L39" s="1" t="str">
        <f t="shared" si="9"/>
        <v>jimohaishat@3mtt.com</v>
      </c>
      <c r="M39" s="1" t="s">
        <v>12</v>
      </c>
      <c r="N39" s="1" t="str">
        <f t="shared" si="8"/>
        <v>Female</v>
      </c>
      <c r="O39" s="1">
        <v>15</v>
      </c>
      <c r="P39" s="1">
        <v>10</v>
      </c>
      <c r="Q39" s="1">
        <v>35</v>
      </c>
      <c r="R39" s="2" cm="1">
        <f t="array" ref="R39">IF(AND(ISNUMBER(O39:Q39),SUM(O39:Q39)&lt;100),SUM(O39:Q39),"No Score")</f>
        <v>60</v>
      </c>
      <c r="S39" t="str" cm="1">
        <f t="array" ref="S39">_xlfn.IFS(AND(R39 &gt;=91,R39 &lt;=100),"A+",AND(R39 &gt;=71,R39 &lt;=90),"A",AND(R39 &gt;=61,R39 &lt;=70),"B",AND(R39 &gt;=51,R39 &lt;=60),"C",AND(R39 &gt;=40,R39 &lt;=50),"D",R39 &lt;40,"F",R39="No Score","No Grade",OR(R39&gt;100,R39&lt;0),"Invalid score")</f>
        <v>C</v>
      </c>
      <c r="T39" t="str" cm="1">
        <f t="array" ref="T39">_xlfn.IFS(S39="A+","Distinction",S39="A","Excellent", S39="B","Credit",S39="C","Very Good", S39="D","Good",S39="F","Poor",OR(S39="No Grade",S39="Invalid Score"),"No Remark")</f>
        <v>Very Good</v>
      </c>
    </row>
    <row r="40" spans="1:20" x14ac:dyDescent="0.2">
      <c r="A40" s="1" t="s">
        <v>135</v>
      </c>
      <c r="B40" s="7">
        <f t="shared" si="0"/>
        <v>45542.614652777775</v>
      </c>
      <c r="C40" s="8">
        <f t="shared" si="4"/>
        <v>45542.614652777775</v>
      </c>
      <c r="D40" s="9">
        <f t="shared" si="5"/>
        <v>0.61465277777460869</v>
      </c>
      <c r="E40" s="1" t="s">
        <v>118</v>
      </c>
      <c r="F40" s="1" t="s">
        <v>136</v>
      </c>
      <c r="G40" s="1" t="str">
        <f t="shared" si="6"/>
        <v>Obi</v>
      </c>
      <c r="H40" s="1" t="s">
        <v>137</v>
      </c>
      <c r="I40" s="1" t="str">
        <f t="shared" si="7"/>
        <v>Fidelia</v>
      </c>
      <c r="J40" s="1" t="str">
        <f t="shared" si="1"/>
        <v>Obi Fidelia</v>
      </c>
      <c r="K40" s="1" t="str">
        <f t="shared" si="2"/>
        <v>Unique</v>
      </c>
      <c r="L40" s="1" t="str">
        <f t="shared" si="9"/>
        <v>obifidelia@3mtt.com</v>
      </c>
      <c r="M40" s="1" t="s">
        <v>12</v>
      </c>
      <c r="N40" s="1" t="str">
        <f t="shared" si="8"/>
        <v>Female</v>
      </c>
      <c r="O40" s="1">
        <v>20</v>
      </c>
      <c r="P40" s="1">
        <v>20</v>
      </c>
      <c r="Q40" s="1">
        <v>59</v>
      </c>
      <c r="R40" s="2" cm="1">
        <f t="array" ref="R40">IF(AND(ISNUMBER(O40:Q40),SUM(O40:Q40)&lt;100),SUM(O40:Q40),"No Score")</f>
        <v>99</v>
      </c>
      <c r="S40" t="str" cm="1">
        <f t="array" ref="S40">_xlfn.IFS(AND(R40 &gt;=91,R40 &lt;=100),"A+",AND(R40 &gt;=71,R40 &lt;=90),"A",AND(R40 &gt;=61,R40 &lt;=70),"B",AND(R40 &gt;=51,R40 &lt;=60),"C",AND(R40 &gt;=40,R40 &lt;=50),"D",R40 &lt;40,"F",R40="No Score","No Grade",OR(R40&gt;100,R40&lt;0),"Invalid score")</f>
        <v>A+</v>
      </c>
      <c r="T40" t="str" cm="1">
        <f t="array" ref="T40">_xlfn.IFS(S40="A+","Distinction",S40="A","Excellent", S40="B","Credit",S40="C","Very Good", S40="D","Good",S40="F","Poor",OR(S40="No Grade",S40="Invalid Score"),"No Remark")</f>
        <v>Distinction</v>
      </c>
    </row>
    <row r="41" spans="1:20" x14ac:dyDescent="0.2">
      <c r="A41" s="1" t="s">
        <v>138</v>
      </c>
      <c r="B41" s="7">
        <f t="shared" si="0"/>
        <v>45542.615648148145</v>
      </c>
      <c r="C41" s="8">
        <f t="shared" si="4"/>
        <v>45542.615648148145</v>
      </c>
      <c r="D41" s="9">
        <f t="shared" si="5"/>
        <v>0.61564814814482816</v>
      </c>
      <c r="E41" s="1" t="s">
        <v>132</v>
      </c>
      <c r="F41" s="1" t="s">
        <v>130</v>
      </c>
      <c r="G41" s="1" t="str">
        <f t="shared" si="6"/>
        <v>Gabriel</v>
      </c>
      <c r="H41" s="1" t="s">
        <v>139</v>
      </c>
      <c r="I41" s="1" t="str">
        <f t="shared" si="7"/>
        <v>Afolayan</v>
      </c>
      <c r="J41" s="1" t="str">
        <f t="shared" si="1"/>
        <v>Gabriel Afolayan</v>
      </c>
      <c r="K41" s="1" t="str">
        <f t="shared" si="2"/>
        <v>Unique</v>
      </c>
      <c r="L41" s="1" t="str">
        <f t="shared" si="9"/>
        <v>gabrielafolayan@3mtt.com</v>
      </c>
      <c r="M41" s="1" t="s">
        <v>21</v>
      </c>
      <c r="N41" s="1" t="str">
        <f t="shared" si="8"/>
        <v>Male</v>
      </c>
      <c r="O41" s="1">
        <v>6</v>
      </c>
      <c r="P41" s="1">
        <v>8</v>
      </c>
      <c r="Q41" s="1">
        <v>42</v>
      </c>
      <c r="R41" s="2" cm="1">
        <f t="array" ref="R41">IF(AND(ISNUMBER(O41:Q41),SUM(O41:Q41)&lt;100),SUM(O41:Q41),"No Score")</f>
        <v>56</v>
      </c>
      <c r="S41" t="str" cm="1">
        <f t="array" ref="S41">_xlfn.IFS(AND(R41 &gt;=91,R41 &lt;=100),"A+",AND(R41 &gt;=71,R41 &lt;=90),"A",AND(R41 &gt;=61,R41 &lt;=70),"B",AND(R41 &gt;=51,R41 &lt;=60),"C",AND(R41 &gt;=40,R41 &lt;=50),"D",R41 &lt;40,"F",R41="No Score","No Grade",OR(R41&gt;100,R41&lt;0),"Invalid score")</f>
        <v>C</v>
      </c>
      <c r="T41" t="str" cm="1">
        <f t="array" ref="T41">_xlfn.IFS(S41="A+","Distinction",S41="A","Excellent", S41="B","Credit",S41="C","Very Good", S41="D","Good",S41="F","Poor",OR(S41="No Grade",S41="Invalid Score"),"No Remark")</f>
        <v>Very Good</v>
      </c>
    </row>
    <row r="42" spans="1:20" x14ac:dyDescent="0.2">
      <c r="A42" s="1" t="s">
        <v>140</v>
      </c>
      <c r="B42" s="7">
        <f t="shared" si="0"/>
        <v>45542.616493055553</v>
      </c>
      <c r="C42" s="8">
        <f t="shared" si="4"/>
        <v>45542.616493055553</v>
      </c>
      <c r="D42" s="9">
        <f t="shared" si="5"/>
        <v>0.61649305555329192</v>
      </c>
      <c r="E42" s="1" t="s">
        <v>132</v>
      </c>
      <c r="F42" s="1" t="s">
        <v>141</v>
      </c>
      <c r="G42" s="1" t="str">
        <f t="shared" si="6"/>
        <v>Folaranmi</v>
      </c>
      <c r="H42" s="1" t="s">
        <v>142</v>
      </c>
      <c r="I42" s="1" t="str">
        <f t="shared" si="7"/>
        <v>Mubash</v>
      </c>
      <c r="J42" s="1" t="str">
        <f t="shared" si="1"/>
        <v>Folaranmi Mubash</v>
      </c>
      <c r="K42" s="1" t="str">
        <f t="shared" si="2"/>
        <v>Unique</v>
      </c>
      <c r="L42" s="1" t="str">
        <f t="shared" si="9"/>
        <v>folaranmimubash@3mtt.com</v>
      </c>
      <c r="M42" s="1" t="s">
        <v>12</v>
      </c>
      <c r="N42" s="1" t="str">
        <f t="shared" si="8"/>
        <v>Female</v>
      </c>
      <c r="O42" s="1">
        <v>19</v>
      </c>
      <c r="P42" s="1">
        <v>7</v>
      </c>
      <c r="Q42" s="1">
        <v>53</v>
      </c>
      <c r="R42" s="2" cm="1">
        <f t="array" ref="R42">IF(AND(ISNUMBER(O42:Q42),SUM(O42:Q42)&lt;100),SUM(O42:Q42),"No Score")</f>
        <v>79</v>
      </c>
      <c r="S42" t="str" cm="1">
        <f t="array" ref="S42">_xlfn.IFS(AND(R42 &gt;=91,R42 &lt;=100),"A+",AND(R42 &gt;=71,R42 &lt;=90),"A",AND(R42 &gt;=61,R42 &lt;=70),"B",AND(R42 &gt;=51,R42 &lt;=60),"C",AND(R42 &gt;=40,R42 &lt;=50),"D",R42 &lt;40,"F",R42="No Score","No Grade",OR(R42&gt;100,R42&lt;0),"Invalid score")</f>
        <v>A</v>
      </c>
      <c r="T42" t="str" cm="1">
        <f t="array" ref="T42">_xlfn.IFS(S42="A+","Distinction",S42="A","Excellent", S42="B","Credit",S42="C","Very Good", S42="D","Good",S42="F","Poor",OR(S42="No Grade",S42="Invalid Score"),"No Remark")</f>
        <v>Excellent</v>
      </c>
    </row>
    <row r="43" spans="1:20" x14ac:dyDescent="0.2">
      <c r="A43" s="1" t="s">
        <v>143</v>
      </c>
      <c r="B43" s="7">
        <f t="shared" si="0"/>
        <v>45542.617152777777</v>
      </c>
      <c r="C43" s="8">
        <f t="shared" si="4"/>
        <v>45542.617152777777</v>
      </c>
      <c r="D43" s="9">
        <f t="shared" si="5"/>
        <v>0.617152777776937</v>
      </c>
      <c r="E43" s="1" t="s">
        <v>132</v>
      </c>
      <c r="F43" s="1" t="s">
        <v>144</v>
      </c>
      <c r="G43" s="1" t="str">
        <f t="shared" si="6"/>
        <v>Michelle</v>
      </c>
      <c r="H43" s="1" t="s">
        <v>145</v>
      </c>
      <c r="I43" s="1" t="str">
        <f t="shared" si="7"/>
        <v>Jackson</v>
      </c>
      <c r="J43" s="1" t="str">
        <f t="shared" si="1"/>
        <v>Michelle Jackson</v>
      </c>
      <c r="K43" s="1" t="str">
        <f t="shared" si="2"/>
        <v>Unique</v>
      </c>
      <c r="L43" s="1" t="str">
        <f t="shared" si="9"/>
        <v>michellejackson@3mtt.com</v>
      </c>
      <c r="M43" s="1" t="s">
        <v>21</v>
      </c>
      <c r="N43" s="1" t="str">
        <f t="shared" si="8"/>
        <v>Male</v>
      </c>
      <c r="O43" s="1">
        <v>3</v>
      </c>
      <c r="P43" s="1">
        <v>11</v>
      </c>
      <c r="Q43" s="1">
        <v>28</v>
      </c>
      <c r="R43" s="2" cm="1">
        <f t="array" ref="R43">IF(AND(ISNUMBER(O43:Q43),SUM(O43:Q43)&lt;100),SUM(O43:Q43),"No Score")</f>
        <v>42</v>
      </c>
      <c r="S43" t="str" cm="1">
        <f t="array" ref="S43">_xlfn.IFS(AND(R43 &gt;=91,R43 &lt;=100),"A+",AND(R43 &gt;=71,R43 &lt;=90),"A",AND(R43 &gt;=61,R43 &lt;=70),"B",AND(R43 &gt;=51,R43 &lt;=60),"C",AND(R43 &gt;=40,R43 &lt;=50),"D",R43 &lt;40,"F",R43="No Score","No Grade",OR(R43&gt;100,R43&lt;0),"Invalid score")</f>
        <v>D</v>
      </c>
      <c r="T43" t="str" cm="1">
        <f t="array" ref="T43">_xlfn.IFS(S43="A+","Distinction",S43="A","Excellent", S43="B","Credit",S43="C","Very Good", S43="D","Good",S43="F","Poor",OR(S43="No Grade",S43="Invalid Score"),"No Remark")</f>
        <v>Good</v>
      </c>
    </row>
    <row r="44" spans="1:20" x14ac:dyDescent="0.2">
      <c r="A44" s="1" t="s">
        <v>146</v>
      </c>
      <c r="B44" s="7">
        <f t="shared" si="0"/>
        <v>45542.617881944447</v>
      </c>
      <c r="C44" s="8">
        <f t="shared" si="4"/>
        <v>45542.617881944447</v>
      </c>
      <c r="D44" s="9">
        <f t="shared" si="5"/>
        <v>0.61788194444670808</v>
      </c>
      <c r="E44" s="1" t="s">
        <v>132</v>
      </c>
      <c r="F44" s="1" t="s">
        <v>147</v>
      </c>
      <c r="G44" s="1" t="str">
        <f t="shared" si="6"/>
        <v>Ajala</v>
      </c>
      <c r="H44" s="1" t="s">
        <v>148</v>
      </c>
      <c r="I44" s="1" t="str">
        <f t="shared" si="7"/>
        <v>Diana</v>
      </c>
      <c r="J44" s="1" t="str">
        <f t="shared" si="1"/>
        <v>Ajala Diana</v>
      </c>
      <c r="K44" s="1" t="str">
        <f t="shared" si="2"/>
        <v>Unique</v>
      </c>
      <c r="L44" s="1" t="str">
        <f t="shared" si="9"/>
        <v>ajaladiana@3mtt.com</v>
      </c>
      <c r="M44" s="1" t="s">
        <v>17</v>
      </c>
      <c r="N44" s="1" t="str">
        <f t="shared" si="8"/>
        <v xml:space="preserve">Female </v>
      </c>
      <c r="O44" s="1">
        <v>10</v>
      </c>
      <c r="P44" s="1">
        <v>4</v>
      </c>
      <c r="Q44" s="1">
        <v>32</v>
      </c>
      <c r="R44" s="2" cm="1">
        <f t="array" ref="R44">IF(AND(ISNUMBER(O44:Q44),SUM(O44:Q44)&lt;100),SUM(O44:Q44),"No Score")</f>
        <v>46</v>
      </c>
      <c r="S44" t="str" cm="1">
        <f t="array" ref="S44">_xlfn.IFS(AND(R44 &gt;=91,R44 &lt;=100),"A+",AND(R44 &gt;=71,R44 &lt;=90),"A",AND(R44 &gt;=61,R44 &lt;=70),"B",AND(R44 &gt;=51,R44 &lt;=60),"C",AND(R44 &gt;=40,R44 &lt;=50),"D",R44 &lt;40,"F",R44="No Score","No Grade",OR(R44&gt;100,R44&lt;0),"Invalid score")</f>
        <v>D</v>
      </c>
      <c r="T44" t="str" cm="1">
        <f t="array" ref="T44">_xlfn.IFS(S44="A+","Distinction",S44="A","Excellent", S44="B","Credit",S44="C","Very Good", S44="D","Good",S44="F","Poor",OR(S44="No Grade",S44="Invalid Score"),"No Remark")</f>
        <v>Good</v>
      </c>
    </row>
    <row r="45" spans="1:20" x14ac:dyDescent="0.2">
      <c r="A45" s="1" t="s">
        <v>149</v>
      </c>
      <c r="B45" s="7">
        <f t="shared" si="0"/>
        <v>45542.634571759256</v>
      </c>
      <c r="C45" s="8">
        <f t="shared" si="4"/>
        <v>45542.634571759256</v>
      </c>
      <c r="D45" s="9">
        <f t="shared" si="5"/>
        <v>0.63457175925577758</v>
      </c>
      <c r="E45" s="1" t="s">
        <v>150</v>
      </c>
      <c r="F45" s="1" t="s">
        <v>92</v>
      </c>
      <c r="G45" s="1" t="str">
        <f t="shared" si="6"/>
        <v>Andrew</v>
      </c>
      <c r="H45" s="1" t="s">
        <v>151</v>
      </c>
      <c r="I45" s="1" t="str">
        <f t="shared" si="7"/>
        <v>Gate</v>
      </c>
      <c r="J45" s="1" t="str">
        <f t="shared" si="1"/>
        <v>Andrew Gate</v>
      </c>
      <c r="K45" s="1" t="str">
        <f t="shared" si="2"/>
        <v>Unique</v>
      </c>
      <c r="L45" s="1" t="str">
        <f t="shared" si="9"/>
        <v>andrewgate@3mtt.com</v>
      </c>
      <c r="M45" s="1" t="s">
        <v>21</v>
      </c>
      <c r="N45" s="1" t="str">
        <f t="shared" si="8"/>
        <v>Male</v>
      </c>
      <c r="O45" s="1">
        <v>10</v>
      </c>
      <c r="P45" s="1">
        <v>20</v>
      </c>
      <c r="Q45" s="1">
        <v>45</v>
      </c>
      <c r="R45" s="2" cm="1">
        <f t="array" ref="R45">IF(AND(ISNUMBER(O45:Q45),SUM(O45:Q45)&lt;100),SUM(O45:Q45),"No Score")</f>
        <v>75</v>
      </c>
      <c r="S45" t="str" cm="1">
        <f t="array" ref="S45">_xlfn.IFS(AND(R45 &gt;=91,R45 &lt;=100),"A+",AND(R45 &gt;=71,R45 &lt;=90),"A",AND(R45 &gt;=61,R45 &lt;=70),"B",AND(R45 &gt;=51,R45 &lt;=60),"C",AND(R45 &gt;=40,R45 &lt;=50),"D",R45 &lt;40,"F",R45="No Score","No Grade",OR(R45&gt;100,R45&lt;0),"Invalid score")</f>
        <v>A</v>
      </c>
      <c r="T45" t="str" cm="1">
        <f t="array" ref="T45">_xlfn.IFS(S45="A+","Distinction",S45="A","Excellent", S45="B","Credit",S45="C","Very Good", S45="D","Good",S45="F","Poor",OR(S45="No Grade",S45="Invalid Score"),"No Remark")</f>
        <v>Excellent</v>
      </c>
    </row>
    <row r="46" spans="1:20" x14ac:dyDescent="0.2">
      <c r="A46" s="1" t="s">
        <v>152</v>
      </c>
      <c r="B46" s="7">
        <f t="shared" si="0"/>
        <v>45542.635000000002</v>
      </c>
      <c r="C46" s="8">
        <f t="shared" si="4"/>
        <v>45542.635000000002</v>
      </c>
      <c r="D46" s="9">
        <f t="shared" si="5"/>
        <v>0.63500000000203727</v>
      </c>
      <c r="E46" s="1" t="s">
        <v>150</v>
      </c>
      <c r="F46" s="1" t="s">
        <v>153</v>
      </c>
      <c r="G46" s="1" t="str">
        <f t="shared" si="6"/>
        <v>Ruth</v>
      </c>
      <c r="H46" s="1" t="s">
        <v>154</v>
      </c>
      <c r="I46" s="1" t="str">
        <f t="shared" si="7"/>
        <v>John</v>
      </c>
      <c r="J46" s="1" t="str">
        <f t="shared" si="1"/>
        <v>Ruth John</v>
      </c>
      <c r="K46" s="1" t="str">
        <f t="shared" si="2"/>
        <v>Unique</v>
      </c>
      <c r="L46" s="1" t="str">
        <f t="shared" si="9"/>
        <v>ruthjohn@3mtt.com</v>
      </c>
      <c r="M46" s="1" t="s">
        <v>12</v>
      </c>
      <c r="N46" s="1" t="str">
        <f t="shared" si="8"/>
        <v>Female</v>
      </c>
      <c r="O46" s="1">
        <v>20</v>
      </c>
      <c r="P46" s="1">
        <v>17</v>
      </c>
      <c r="Q46" s="1">
        <v>60</v>
      </c>
      <c r="R46" s="2" cm="1">
        <f t="array" ref="R46">IF(AND(ISNUMBER(O46:Q46),SUM(O46:Q46)&lt;100),SUM(O46:Q46),"No Score")</f>
        <v>97</v>
      </c>
      <c r="S46" t="str" cm="1">
        <f t="array" ref="S46">_xlfn.IFS(AND(R46 &gt;=91,R46 &lt;=100),"A+",AND(R46 &gt;=71,R46 &lt;=90),"A",AND(R46 &gt;=61,R46 &lt;=70),"B",AND(R46 &gt;=51,R46 &lt;=60),"C",AND(R46 &gt;=40,R46 &lt;=50),"D",R46 &lt;40,"F",R46="No Score","No Grade",OR(R46&gt;100,R46&lt;0),"Invalid score")</f>
        <v>A+</v>
      </c>
      <c r="T46" t="str" cm="1">
        <f t="array" ref="T46">_xlfn.IFS(S46="A+","Distinction",S46="A","Excellent", S46="B","Credit",S46="C","Very Good", S46="D","Good",S46="F","Poor",OR(S46="No Grade",S46="Invalid Score"),"No Remark")</f>
        <v>Distinction</v>
      </c>
    </row>
    <row r="47" spans="1:20" x14ac:dyDescent="0.2">
      <c r="A47" s="1" t="s">
        <v>155</v>
      </c>
      <c r="B47" s="7">
        <f t="shared" si="0"/>
        <v>45542.635474537034</v>
      </c>
      <c r="C47" s="8">
        <f t="shared" si="4"/>
        <v>45542.635474537034</v>
      </c>
      <c r="D47" s="9">
        <f t="shared" si="5"/>
        <v>0.63547453703358769</v>
      </c>
      <c r="E47" s="1" t="s">
        <v>150</v>
      </c>
      <c r="F47" s="1" t="s">
        <v>156</v>
      </c>
      <c r="G47" s="1" t="str">
        <f t="shared" si="6"/>
        <v>Benson</v>
      </c>
      <c r="H47" s="1" t="s">
        <v>157</v>
      </c>
      <c r="I47" s="1" t="str">
        <f t="shared" si="7"/>
        <v>Abraham</v>
      </c>
      <c r="J47" s="1" t="str">
        <f t="shared" si="1"/>
        <v>Benson Abraham</v>
      </c>
      <c r="K47" s="1" t="str">
        <f t="shared" si="2"/>
        <v>Unique</v>
      </c>
      <c r="L47" s="1" t="str">
        <f t="shared" si="9"/>
        <v>bensonabraham@3mtt.com</v>
      </c>
      <c r="M47" s="1" t="s">
        <v>12</v>
      </c>
      <c r="N47" s="1" t="str">
        <f t="shared" si="8"/>
        <v>Female</v>
      </c>
      <c r="O47" s="1">
        <v>14</v>
      </c>
      <c r="P47" s="1">
        <v>9</v>
      </c>
      <c r="Q47" s="1">
        <v>25</v>
      </c>
      <c r="R47" s="2" cm="1">
        <f t="array" ref="R47">IF(AND(ISNUMBER(O47:Q47),SUM(O47:Q47)&lt;100),SUM(O47:Q47),"No Score")</f>
        <v>48</v>
      </c>
      <c r="S47" t="str" cm="1">
        <f t="array" ref="S47">_xlfn.IFS(AND(R47 &gt;=91,R47 &lt;=100),"A+",AND(R47 &gt;=71,R47 &lt;=90),"A",AND(R47 &gt;=61,R47 &lt;=70),"B",AND(R47 &gt;=51,R47 &lt;=60),"C",AND(R47 &gt;=40,R47 &lt;=50),"D",R47 &lt;40,"F",R47="No Score","No Grade",OR(R47&gt;100,R47&lt;0),"Invalid score")</f>
        <v>D</v>
      </c>
      <c r="T47" t="str" cm="1">
        <f t="array" ref="T47">_xlfn.IFS(S47="A+","Distinction",S47="A","Excellent", S47="B","Credit",S47="C","Very Good", S47="D","Good",S47="F","Poor",OR(S47="No Grade",S47="Invalid Score"),"No Remark")</f>
        <v>Good</v>
      </c>
    </row>
    <row r="48" spans="1:20" x14ac:dyDescent="0.2">
      <c r="A48" s="1" t="s">
        <v>158</v>
      </c>
      <c r="B48" s="7">
        <f t="shared" si="0"/>
        <v>45542.636111111111</v>
      </c>
      <c r="C48" s="8">
        <f t="shared" si="4"/>
        <v>45542.636111111111</v>
      </c>
      <c r="D48" s="9">
        <f t="shared" si="5"/>
        <v>0.63611111111094942</v>
      </c>
      <c r="E48" s="1" t="s">
        <v>150</v>
      </c>
      <c r="F48" s="1" t="s">
        <v>159</v>
      </c>
      <c r="G48" s="1" t="str">
        <f t="shared" si="6"/>
        <v>James</v>
      </c>
      <c r="H48" s="1" t="s">
        <v>100</v>
      </c>
      <c r="I48" s="1" t="str">
        <f t="shared" si="7"/>
        <v>Paul</v>
      </c>
      <c r="J48" s="1" t="str">
        <f t="shared" si="1"/>
        <v>James Paul</v>
      </c>
      <c r="K48" s="1" t="str">
        <f t="shared" si="2"/>
        <v>Unique</v>
      </c>
      <c r="L48" s="1" t="str">
        <f t="shared" si="9"/>
        <v>jamespaul@3mtt.com</v>
      </c>
      <c r="M48" s="1" t="s">
        <v>21</v>
      </c>
      <c r="N48" s="1" t="str">
        <f t="shared" si="8"/>
        <v>Male</v>
      </c>
      <c r="O48" s="1">
        <v>12</v>
      </c>
      <c r="P48" s="1">
        <v>15</v>
      </c>
      <c r="Q48" s="1">
        <v>35</v>
      </c>
      <c r="R48" s="2" cm="1">
        <f t="array" ref="R48">IF(AND(ISNUMBER(O48:Q48),SUM(O48:Q48)&lt;100),SUM(O48:Q48),"No Score")</f>
        <v>62</v>
      </c>
      <c r="S48" t="str" cm="1">
        <f t="array" ref="S48">_xlfn.IFS(AND(R48 &gt;=91,R48 &lt;=100),"A+",AND(R48 &gt;=71,R48 &lt;=90),"A",AND(R48 &gt;=61,R48 &lt;=70),"B",AND(R48 &gt;=51,R48 &lt;=60),"C",AND(R48 &gt;=40,R48 &lt;=50),"D",R48 &lt;40,"F",R48="No Score","No Grade",OR(R48&gt;100,R48&lt;0),"Invalid score")</f>
        <v>B</v>
      </c>
      <c r="T48" t="str" cm="1">
        <f t="array" ref="T48">_xlfn.IFS(S48="A+","Distinction",S48="A","Excellent", S48="B","Credit",S48="C","Very Good", S48="D","Good",S48="F","Poor",OR(S48="No Grade",S48="Invalid Score"),"No Remark")</f>
        <v>Credit</v>
      </c>
    </row>
    <row r="49" spans="1:20" x14ac:dyDescent="0.2">
      <c r="A49" s="1" t="s">
        <v>160</v>
      </c>
      <c r="B49" s="7">
        <f t="shared" si="0"/>
        <v>45542.63652777778</v>
      </c>
      <c r="C49" s="8">
        <f t="shared" si="4"/>
        <v>45542.63652777778</v>
      </c>
      <c r="D49" s="9">
        <f t="shared" si="5"/>
        <v>0.63652777778042946</v>
      </c>
      <c r="E49" s="1" t="s">
        <v>150</v>
      </c>
      <c r="F49" s="1" t="s">
        <v>161</v>
      </c>
      <c r="G49" s="1" t="str">
        <f t="shared" si="6"/>
        <v>Esther</v>
      </c>
      <c r="H49" s="1" t="s">
        <v>162</v>
      </c>
      <c r="I49" s="1" t="str">
        <f t="shared" si="7"/>
        <v>King</v>
      </c>
      <c r="J49" s="1" t="str">
        <f t="shared" si="1"/>
        <v>Esther King</v>
      </c>
      <c r="K49" s="1" t="str">
        <f t="shared" si="2"/>
        <v>Unique</v>
      </c>
      <c r="L49" s="1" t="str">
        <f t="shared" si="9"/>
        <v>estherking@3mtt.com</v>
      </c>
      <c r="M49" s="1" t="s">
        <v>12</v>
      </c>
      <c r="N49" s="1" t="str">
        <f t="shared" si="8"/>
        <v>Female</v>
      </c>
      <c r="O49" s="1">
        <v>18</v>
      </c>
      <c r="P49" s="1">
        <v>17</v>
      </c>
      <c r="Q49" s="1">
        <v>59</v>
      </c>
      <c r="R49" s="2" cm="1">
        <f t="array" ref="R49">IF(AND(ISNUMBER(O49:Q49),SUM(O49:Q49)&lt;100),SUM(O49:Q49),"No Score")</f>
        <v>94</v>
      </c>
      <c r="S49" t="str" cm="1">
        <f t="array" ref="S49">_xlfn.IFS(AND(R49 &gt;=91,R49 &lt;=100),"A+",AND(R49 &gt;=71,R49 &lt;=90),"A",AND(R49 &gt;=61,R49 &lt;=70),"B",AND(R49 &gt;=51,R49 &lt;=60),"C",AND(R49 &gt;=40,R49 &lt;=50),"D",R49 &lt;40,"F",R49="No Score","No Grade",OR(R49&gt;100,R49&lt;0),"Invalid score")</f>
        <v>A+</v>
      </c>
      <c r="T49" t="str" cm="1">
        <f t="array" ref="T49">_xlfn.IFS(S49="A+","Distinction",S49="A","Excellent", S49="B","Credit",S49="C","Very Good", S49="D","Good",S49="F","Poor",OR(S49="No Grade",S49="Invalid Score"),"No Remark")</f>
        <v>Distinction</v>
      </c>
    </row>
    <row r="50" spans="1:20" x14ac:dyDescent="0.2">
      <c r="A50" s="1" t="s">
        <v>163</v>
      </c>
      <c r="B50" s="7">
        <f t="shared" si="0"/>
        <v>45542.642094907409</v>
      </c>
      <c r="C50" s="8">
        <f t="shared" si="4"/>
        <v>45542.642094907409</v>
      </c>
      <c r="D50" s="9">
        <f t="shared" si="5"/>
        <v>0.64209490740904585</v>
      </c>
      <c r="E50" s="1" t="s">
        <v>164</v>
      </c>
      <c r="F50" s="1" t="s">
        <v>165</v>
      </c>
      <c r="G50" s="1" t="str">
        <f t="shared" si="6"/>
        <v>Uche</v>
      </c>
      <c r="H50" s="1" t="s">
        <v>166</v>
      </c>
      <c r="I50" s="1" t="str">
        <f t="shared" si="7"/>
        <v>Kanu</v>
      </c>
      <c r="J50" s="1" t="str">
        <f t="shared" si="1"/>
        <v>Uche Kanu</v>
      </c>
      <c r="K50" s="1" t="str">
        <f t="shared" si="2"/>
        <v>Unique</v>
      </c>
      <c r="L50" s="1" t="str">
        <f t="shared" si="9"/>
        <v>uchekanu@3mtt.com</v>
      </c>
      <c r="M50" s="1" t="s">
        <v>21</v>
      </c>
      <c r="N50" s="1" t="str">
        <f t="shared" si="8"/>
        <v>Male</v>
      </c>
      <c r="O50" s="1">
        <v>15</v>
      </c>
      <c r="P50" s="1">
        <v>18</v>
      </c>
      <c r="Q50" s="1">
        <v>48</v>
      </c>
      <c r="R50" s="2" cm="1">
        <f t="array" ref="R50">IF(AND(ISNUMBER(O50:Q50),SUM(O50:Q50)&lt;100),SUM(O50:Q50),"No Score")</f>
        <v>81</v>
      </c>
      <c r="S50" t="str" cm="1">
        <f t="array" ref="S50">_xlfn.IFS(AND(R50 &gt;=91,R50 &lt;=100),"A+",AND(R50 &gt;=71,R50 &lt;=90),"A",AND(R50 &gt;=61,R50 &lt;=70),"B",AND(R50 &gt;=51,R50 &lt;=60),"C",AND(R50 &gt;=40,R50 &lt;=50),"D",R50 &lt;40,"F",R50="No Score","No Grade",OR(R50&gt;100,R50&lt;0),"Invalid score")</f>
        <v>A</v>
      </c>
      <c r="T50" t="str" cm="1">
        <f t="array" ref="T50">_xlfn.IFS(S50="A+","Distinction",S50="A","Excellent", S50="B","Credit",S50="C","Very Good", S50="D","Good",S50="F","Poor",OR(S50="No Grade",S50="Invalid Score"),"No Remark")</f>
        <v>Excellent</v>
      </c>
    </row>
    <row r="51" spans="1:20" x14ac:dyDescent="0.2">
      <c r="A51" s="1" t="s">
        <v>167</v>
      </c>
      <c r="B51" s="7">
        <f t="shared" si="0"/>
        <v>45542.64266203704</v>
      </c>
      <c r="C51" s="8">
        <f t="shared" si="4"/>
        <v>45542.64266203704</v>
      </c>
      <c r="D51" s="9">
        <f t="shared" si="5"/>
        <v>0.64266203704028158</v>
      </c>
      <c r="E51" s="1" t="s">
        <v>164</v>
      </c>
      <c r="F51" s="1" t="s">
        <v>154</v>
      </c>
      <c r="G51" s="1" t="str">
        <f t="shared" si="6"/>
        <v>John</v>
      </c>
      <c r="H51" s="1" t="s">
        <v>168</v>
      </c>
      <c r="I51" s="1" t="str">
        <f t="shared" si="7"/>
        <v>Ndukwe</v>
      </c>
      <c r="J51" s="1" t="str">
        <f t="shared" si="1"/>
        <v>John Ndukwe</v>
      </c>
      <c r="K51" s="1" t="str">
        <f t="shared" si="2"/>
        <v>Unique</v>
      </c>
      <c r="L51" s="1" t="str">
        <f t="shared" si="9"/>
        <v>johnndukwe@3mtt.com</v>
      </c>
      <c r="M51" s="1" t="s">
        <v>169</v>
      </c>
      <c r="N51" s="1" t="str">
        <f t="shared" si="8"/>
        <v>Male</v>
      </c>
      <c r="O51" s="1">
        <v>10</v>
      </c>
      <c r="P51" s="1">
        <v>11</v>
      </c>
      <c r="Q51" s="1">
        <v>35</v>
      </c>
      <c r="R51" s="2" cm="1">
        <f t="array" ref="R51">IF(AND(ISNUMBER(O51:Q51),SUM(O51:Q51)&lt;100),SUM(O51:Q51),"No Score")</f>
        <v>56</v>
      </c>
      <c r="S51" t="str" cm="1">
        <f t="array" ref="S51">_xlfn.IFS(AND(R51 &gt;=91,R51 &lt;=100),"A+",AND(R51 &gt;=71,R51 &lt;=90),"A",AND(R51 &gt;=61,R51 &lt;=70),"B",AND(R51 &gt;=51,R51 &lt;=60),"C",AND(R51 &gt;=40,R51 &lt;=50),"D",R51 &lt;40,"F",R51="No Score","No Grade",OR(R51&gt;100,R51&lt;0),"Invalid score")</f>
        <v>C</v>
      </c>
      <c r="T51" t="str" cm="1">
        <f t="array" ref="T51">_xlfn.IFS(S51="A+","Distinction",S51="A","Excellent", S51="B","Credit",S51="C","Very Good", S51="D","Good",S51="F","Poor",OR(S51="No Grade",S51="Invalid Score"),"No Remark")</f>
        <v>Very Good</v>
      </c>
    </row>
    <row r="52" spans="1:20" x14ac:dyDescent="0.2">
      <c r="A52" s="1" t="s">
        <v>170</v>
      </c>
      <c r="B52" s="7">
        <f t="shared" si="0"/>
        <v>45542.644074074073</v>
      </c>
      <c r="C52" s="8">
        <f t="shared" si="4"/>
        <v>45542.644074074073</v>
      </c>
      <c r="D52" s="9">
        <f t="shared" si="5"/>
        <v>0.64407407407270512</v>
      </c>
      <c r="E52" s="1" t="s">
        <v>164</v>
      </c>
      <c r="F52" s="1" t="s">
        <v>171</v>
      </c>
      <c r="G52" s="1" t="str">
        <f t="shared" si="6"/>
        <v>Mercy</v>
      </c>
      <c r="H52" s="1" t="s">
        <v>172</v>
      </c>
      <c r="I52" s="1" t="str">
        <f t="shared" si="7"/>
        <v>Eke</v>
      </c>
      <c r="J52" s="1" t="str">
        <f t="shared" si="1"/>
        <v>Mercy Eke</v>
      </c>
      <c r="K52" s="1" t="str">
        <f t="shared" si="2"/>
        <v>Unique</v>
      </c>
      <c r="L52" s="1" t="str">
        <f t="shared" si="9"/>
        <v>mercyeke@3mtt.com</v>
      </c>
      <c r="M52" s="1" t="s">
        <v>12</v>
      </c>
      <c r="N52" s="1" t="str">
        <f t="shared" si="8"/>
        <v>Female</v>
      </c>
      <c r="O52" s="1">
        <v>16</v>
      </c>
      <c r="P52" s="1">
        <v>19</v>
      </c>
      <c r="Q52" s="1">
        <v>55</v>
      </c>
      <c r="R52" s="2" cm="1">
        <f t="array" ref="R52">IF(AND(ISNUMBER(O52:Q52),SUM(O52:Q52)&lt;100),SUM(O52:Q52),"No Score")</f>
        <v>90</v>
      </c>
      <c r="S52" t="str" cm="1">
        <f t="array" ref="S52">_xlfn.IFS(AND(R52 &gt;=91,R52 &lt;=100),"A+",AND(R52 &gt;=71,R52 &lt;=90),"A",AND(R52 &gt;=61,R52 &lt;=70),"B",AND(R52 &gt;=51,R52 &lt;=60),"C",AND(R52 &gt;=40,R52 &lt;=50),"D",R52 &lt;40,"F",R52="No Score","No Grade",OR(R52&gt;100,R52&lt;0),"Invalid score")</f>
        <v>A</v>
      </c>
      <c r="T52" t="str" cm="1">
        <f t="array" ref="T52">_xlfn.IFS(S52="A+","Distinction",S52="A","Excellent", S52="B","Credit",S52="C","Very Good", S52="D","Good",S52="F","Poor",OR(S52="No Grade",S52="Invalid Score"),"No Remark")</f>
        <v>Excellent</v>
      </c>
    </row>
    <row r="53" spans="1:20" x14ac:dyDescent="0.2">
      <c r="A53" s="1" t="s">
        <v>173</v>
      </c>
      <c r="B53" s="7">
        <f t="shared" si="0"/>
        <v>45542.644675925927</v>
      </c>
      <c r="C53" s="8">
        <f t="shared" si="4"/>
        <v>45542.644675925927</v>
      </c>
      <c r="D53" s="9">
        <f t="shared" si="5"/>
        <v>0.64467592592700385</v>
      </c>
      <c r="E53" s="1" t="s">
        <v>164</v>
      </c>
      <c r="F53" s="1" t="s">
        <v>174</v>
      </c>
      <c r="G53" s="1" t="str">
        <f t="shared" si="6"/>
        <v>Janet</v>
      </c>
      <c r="H53" s="1" t="s">
        <v>175</v>
      </c>
      <c r="I53" s="1" t="str">
        <f t="shared" si="7"/>
        <v>Stones</v>
      </c>
      <c r="J53" s="1" t="str">
        <f t="shared" si="1"/>
        <v>Janet Stones</v>
      </c>
      <c r="K53" s="1" t="str">
        <f t="shared" si="2"/>
        <v>Unique</v>
      </c>
      <c r="L53" s="1" t="str">
        <f t="shared" si="9"/>
        <v>janetstones@3mtt.com</v>
      </c>
      <c r="M53" s="1" t="s">
        <v>12</v>
      </c>
      <c r="N53" s="1" t="str">
        <f t="shared" si="8"/>
        <v>Female</v>
      </c>
      <c r="O53" s="1">
        <v>8</v>
      </c>
      <c r="P53" s="1">
        <v>15</v>
      </c>
      <c r="Q53" s="1">
        <v>40</v>
      </c>
      <c r="R53" s="2" cm="1">
        <f t="array" ref="R53">IF(AND(ISNUMBER(O53:Q53),SUM(O53:Q53)&lt;100),SUM(O53:Q53),"No Score")</f>
        <v>63</v>
      </c>
      <c r="S53" t="str" cm="1">
        <f t="array" ref="S53">_xlfn.IFS(AND(R53 &gt;=91,R53 &lt;=100),"A+",AND(R53 &gt;=71,R53 &lt;=90),"A",AND(R53 &gt;=61,R53 &lt;=70),"B",AND(R53 &gt;=51,R53 &lt;=60),"C",AND(R53 &gt;=40,R53 &lt;=50),"D",R53 &lt;40,"F",R53="No Score","No Grade",OR(R53&gt;100,R53&lt;0),"Invalid score")</f>
        <v>B</v>
      </c>
      <c r="T53" t="str" cm="1">
        <f t="array" ref="T53">_xlfn.IFS(S53="A+","Distinction",S53="A","Excellent", S53="B","Credit",S53="C","Very Good", S53="D","Good",S53="F","Poor",OR(S53="No Grade",S53="Invalid Score"),"No Remark")</f>
        <v>Credit</v>
      </c>
    </row>
    <row r="54" spans="1:20" x14ac:dyDescent="0.2">
      <c r="A54" s="1" t="s">
        <v>176</v>
      </c>
      <c r="B54" s="7">
        <f t="shared" si="0"/>
        <v>45542.645312499997</v>
      </c>
      <c r="C54" s="8">
        <f t="shared" si="4"/>
        <v>45542.645312499997</v>
      </c>
      <c r="D54" s="9">
        <f t="shared" si="5"/>
        <v>0.64531249999708962</v>
      </c>
      <c r="E54" s="1" t="s">
        <v>164</v>
      </c>
      <c r="F54" s="1" t="s">
        <v>177</v>
      </c>
      <c r="G54" s="1" t="str">
        <f t="shared" si="6"/>
        <v>Olabisi</v>
      </c>
      <c r="H54" s="1" t="s">
        <v>178</v>
      </c>
      <c r="I54" s="1" t="str">
        <f t="shared" si="7"/>
        <v>Adebisi</v>
      </c>
      <c r="J54" s="1" t="str">
        <f t="shared" si="1"/>
        <v>Olabisi Adebisi</v>
      </c>
      <c r="K54" s="1" t="str">
        <f t="shared" si="2"/>
        <v>Unique</v>
      </c>
      <c r="L54" s="1" t="str">
        <f t="shared" si="9"/>
        <v>olabisiadebisi@3mtt.com</v>
      </c>
      <c r="M54" s="1" t="s">
        <v>12</v>
      </c>
      <c r="N54" s="1" t="str">
        <f t="shared" si="8"/>
        <v>Female</v>
      </c>
      <c r="O54" s="1">
        <v>13</v>
      </c>
      <c r="P54" s="1">
        <v>18</v>
      </c>
      <c r="Q54" s="1">
        <v>52</v>
      </c>
      <c r="R54" s="2" cm="1">
        <f t="array" ref="R54">IF(AND(ISNUMBER(O54:Q54),SUM(O54:Q54)&lt;100),SUM(O54:Q54),"No Score")</f>
        <v>83</v>
      </c>
      <c r="S54" t="str" cm="1">
        <f t="array" ref="S54">_xlfn.IFS(AND(R54 &gt;=91,R54 &lt;=100),"A+",AND(R54 &gt;=71,R54 &lt;=90),"A",AND(R54 &gt;=61,R54 &lt;=70),"B",AND(R54 &gt;=51,R54 &lt;=60),"C",AND(R54 &gt;=40,R54 &lt;=50),"D",R54 &lt;40,"F",R54="No Score","No Grade",OR(R54&gt;100,R54&lt;0),"Invalid score")</f>
        <v>A</v>
      </c>
      <c r="T54" t="str" cm="1">
        <f t="array" ref="T54">_xlfn.IFS(S54="A+","Distinction",S54="A","Excellent", S54="B","Credit",S54="C","Very Good", S54="D","Good",S54="F","Poor",OR(S54="No Grade",S54="Invalid Score"),"No Remark")</f>
        <v>Excellent</v>
      </c>
    </row>
    <row r="55" spans="1:20" x14ac:dyDescent="0.2">
      <c r="A55" s="1" t="s">
        <v>179</v>
      </c>
      <c r="B55" s="7">
        <f t="shared" si="0"/>
        <v>45542.649791666663</v>
      </c>
      <c r="C55" s="8">
        <f t="shared" si="4"/>
        <v>45542.649791666663</v>
      </c>
      <c r="D55" s="9">
        <f t="shared" si="5"/>
        <v>0.64979166666307719</v>
      </c>
      <c r="E55" s="1" t="s">
        <v>180</v>
      </c>
      <c r="F55" s="1" t="s">
        <v>181</v>
      </c>
      <c r="G55" s="1" t="str">
        <f t="shared" si="6"/>
        <v>Joe</v>
      </c>
      <c r="H55" s="1" t="s">
        <v>182</v>
      </c>
      <c r="I55" s="1" t="str">
        <f t="shared" si="7"/>
        <v>Segun</v>
      </c>
      <c r="J55" s="1" t="str">
        <f t="shared" si="1"/>
        <v>Joe Segun</v>
      </c>
      <c r="K55" s="1" t="str">
        <f t="shared" si="2"/>
        <v>Unique</v>
      </c>
      <c r="L55" s="1" t="str">
        <f t="shared" si="9"/>
        <v>joesegun@3mtt.com</v>
      </c>
      <c r="M55" s="1" t="s">
        <v>183</v>
      </c>
      <c r="N55" s="1" t="str">
        <f t="shared" si="8"/>
        <v xml:space="preserve">Male </v>
      </c>
      <c r="O55" s="1">
        <v>20</v>
      </c>
      <c r="P55" s="1">
        <v>19</v>
      </c>
      <c r="Q55" s="1">
        <v>58</v>
      </c>
      <c r="R55" s="2" cm="1">
        <f t="array" ref="R55">IF(AND(ISNUMBER(O55:Q55),SUM(O55:Q55)&lt;100),SUM(O55:Q55),"No Score")</f>
        <v>97</v>
      </c>
      <c r="S55" t="str" cm="1">
        <f t="array" ref="S55">_xlfn.IFS(AND(R55 &gt;=91,R55 &lt;=100),"A+",AND(R55 &gt;=71,R55 &lt;=90),"A",AND(R55 &gt;=61,R55 &lt;=70),"B",AND(R55 &gt;=51,R55 &lt;=60),"C",AND(R55 &gt;=40,R55 &lt;=50),"D",R55 &lt;40,"F",R55="No Score","No Grade",OR(R55&gt;100,R55&lt;0),"Invalid score")</f>
        <v>A+</v>
      </c>
      <c r="T55" t="str" cm="1">
        <f t="array" ref="T55">_xlfn.IFS(S55="A+","Distinction",S55="A","Excellent", S55="B","Credit",S55="C","Very Good", S55="D","Good",S55="F","Poor",OR(S55="No Grade",S55="Invalid Score"),"No Remark")</f>
        <v>Distinction</v>
      </c>
    </row>
    <row r="56" spans="1:20" x14ac:dyDescent="0.2">
      <c r="A56" s="1" t="s">
        <v>184</v>
      </c>
      <c r="B56" s="7">
        <f t="shared" si="0"/>
        <v>45542.650590277779</v>
      </c>
      <c r="C56" s="8">
        <f t="shared" si="4"/>
        <v>45542.650590277779</v>
      </c>
      <c r="D56" s="9">
        <f t="shared" si="5"/>
        <v>0.65059027777897427</v>
      </c>
      <c r="E56" s="1" t="s">
        <v>180</v>
      </c>
      <c r="F56" s="1" t="s">
        <v>185</v>
      </c>
      <c r="G56" s="1" t="str">
        <f t="shared" si="6"/>
        <v>Zee</v>
      </c>
      <c r="H56" s="1" t="s">
        <v>186</v>
      </c>
      <c r="I56" s="1" t="str">
        <f t="shared" si="7"/>
        <v>Abee</v>
      </c>
      <c r="J56" s="1" t="str">
        <f t="shared" si="1"/>
        <v>Zee Abee</v>
      </c>
      <c r="K56" s="1" t="str">
        <f t="shared" si="2"/>
        <v>Unique</v>
      </c>
      <c r="L56" s="1" t="str">
        <f t="shared" si="9"/>
        <v>zeeabee@3mtt.com</v>
      </c>
      <c r="M56" s="1" t="s">
        <v>17</v>
      </c>
      <c r="N56" s="1" t="str">
        <f t="shared" si="8"/>
        <v xml:space="preserve">Female </v>
      </c>
      <c r="O56" s="1">
        <v>15</v>
      </c>
      <c r="P56" s="1">
        <v>10</v>
      </c>
      <c r="Q56" s="1">
        <v>38</v>
      </c>
      <c r="R56" s="2" cm="1">
        <f t="array" ref="R56">IF(AND(ISNUMBER(O56:Q56),SUM(O56:Q56)&lt;100),SUM(O56:Q56),"No Score")</f>
        <v>63</v>
      </c>
      <c r="S56" t="str" cm="1">
        <f t="array" ref="S56">_xlfn.IFS(AND(R56 &gt;=91,R56 &lt;=100),"A+",AND(R56 &gt;=71,R56 &lt;=90),"A",AND(R56 &gt;=61,R56 &lt;=70),"B",AND(R56 &gt;=51,R56 &lt;=60),"C",AND(R56 &gt;=40,R56 &lt;=50),"D",R56 &lt;40,"F",R56="No Score","No Grade",OR(R56&gt;100,R56&lt;0),"Invalid score")</f>
        <v>B</v>
      </c>
      <c r="T56" t="str" cm="1">
        <f t="array" ref="T56">_xlfn.IFS(S56="A+","Distinction",S56="A","Excellent", S56="B","Credit",S56="C","Very Good", S56="D","Good",S56="F","Poor",OR(S56="No Grade",S56="Invalid Score"),"No Remark")</f>
        <v>Credit</v>
      </c>
    </row>
    <row r="57" spans="1:20" x14ac:dyDescent="0.2">
      <c r="A57" s="1" t="s">
        <v>187</v>
      </c>
      <c r="B57" s="7">
        <f t="shared" si="0"/>
        <v>45542.651099537034</v>
      </c>
      <c r="C57" s="8">
        <f t="shared" si="4"/>
        <v>45542.651099537034</v>
      </c>
      <c r="D57" s="9">
        <f t="shared" si="5"/>
        <v>0.65109953703358769</v>
      </c>
      <c r="E57" s="1" t="s">
        <v>180</v>
      </c>
      <c r="F57" s="1" t="s">
        <v>10</v>
      </c>
      <c r="G57" s="1" t="str">
        <f t="shared" si="6"/>
        <v>Jane</v>
      </c>
      <c r="H57" s="1" t="s">
        <v>74</v>
      </c>
      <c r="I57" s="1" t="str">
        <f t="shared" si="7"/>
        <v>Uche</v>
      </c>
      <c r="J57" s="1" t="str">
        <f t="shared" si="1"/>
        <v>Jane Uche</v>
      </c>
      <c r="K57" s="1" t="str">
        <f t="shared" si="2"/>
        <v>Unique</v>
      </c>
      <c r="L57" s="1" t="str">
        <f t="shared" si="9"/>
        <v>janeuche@3mtt.com</v>
      </c>
      <c r="M57" s="1" t="s">
        <v>17</v>
      </c>
      <c r="N57" s="1" t="str">
        <f t="shared" si="8"/>
        <v xml:space="preserve">Female </v>
      </c>
      <c r="O57" s="1">
        <v>5</v>
      </c>
      <c r="P57" s="1">
        <v>11</v>
      </c>
      <c r="Q57" s="1">
        <v>27</v>
      </c>
      <c r="R57" s="2" cm="1">
        <f t="array" ref="R57">IF(AND(ISNUMBER(O57:Q57),SUM(O57:Q57)&lt;100),SUM(O57:Q57),"No Score")</f>
        <v>43</v>
      </c>
      <c r="S57" t="str" cm="1">
        <f t="array" ref="S57">_xlfn.IFS(AND(R57 &gt;=91,R57 &lt;=100),"A+",AND(R57 &gt;=71,R57 &lt;=90),"A",AND(R57 &gt;=61,R57 &lt;=70),"B",AND(R57 &gt;=51,R57 &lt;=60),"C",AND(R57 &gt;=40,R57 &lt;=50),"D",R57 &lt;40,"F",R57="No Score","No Grade",OR(R57&gt;100,R57&lt;0),"Invalid score")</f>
        <v>D</v>
      </c>
      <c r="T57" t="str" cm="1">
        <f t="array" ref="T57">_xlfn.IFS(S57="A+","Distinction",S57="A","Excellent", S57="B","Credit",S57="C","Very Good", S57="D","Good",S57="F","Poor",OR(S57="No Grade",S57="Invalid Score"),"No Remark")</f>
        <v>Good</v>
      </c>
    </row>
    <row r="58" spans="1:20" x14ac:dyDescent="0.2">
      <c r="A58" s="1" t="s">
        <v>188</v>
      </c>
      <c r="B58" s="7">
        <f t="shared" si="0"/>
        <v>45542.652361111112</v>
      </c>
      <c r="C58" s="8">
        <f t="shared" si="4"/>
        <v>45542.652361111112</v>
      </c>
      <c r="D58" s="9">
        <f t="shared" si="5"/>
        <v>0.6523611111115315</v>
      </c>
      <c r="E58" s="1" t="s">
        <v>180</v>
      </c>
      <c r="F58" s="1" t="s">
        <v>91</v>
      </c>
      <c r="G58" s="1" t="str">
        <f t="shared" si="6"/>
        <v>Joy</v>
      </c>
      <c r="H58" s="1" t="s">
        <v>189</v>
      </c>
      <c r="I58" s="1" t="str">
        <f t="shared" si="7"/>
        <v>Seun</v>
      </c>
      <c r="J58" s="1" t="str">
        <f t="shared" si="1"/>
        <v>Joy Seun</v>
      </c>
      <c r="K58" s="1" t="str">
        <f t="shared" si="2"/>
        <v>Unique</v>
      </c>
      <c r="L58" s="1" t="str">
        <f t="shared" si="9"/>
        <v>joyseun@3mtt.com</v>
      </c>
      <c r="M58" s="1" t="s">
        <v>12</v>
      </c>
      <c r="N58" s="1" t="str">
        <f t="shared" si="8"/>
        <v>Female</v>
      </c>
      <c r="O58" s="1">
        <v>15</v>
      </c>
      <c r="P58" s="1">
        <v>18</v>
      </c>
      <c r="Q58" s="1">
        <v>55</v>
      </c>
      <c r="R58" s="2" cm="1">
        <f t="array" ref="R58">IF(AND(ISNUMBER(O58:Q58),SUM(O58:Q58)&lt;100),SUM(O58:Q58),"No Score")</f>
        <v>88</v>
      </c>
      <c r="S58" t="str" cm="1">
        <f t="array" ref="S58">_xlfn.IFS(AND(R58 &gt;=91,R58 &lt;=100),"A+",AND(R58 &gt;=71,R58 &lt;=90),"A",AND(R58 &gt;=61,R58 &lt;=70),"B",AND(R58 &gt;=51,R58 &lt;=60),"C",AND(R58 &gt;=40,R58 &lt;=50),"D",R58 &lt;40,"F",R58="No Score","No Grade",OR(R58&gt;100,R58&lt;0),"Invalid score")</f>
        <v>A</v>
      </c>
      <c r="T58" t="str" cm="1">
        <f t="array" ref="T58">_xlfn.IFS(S58="A+","Distinction",S58="A","Excellent", S58="B","Credit",S58="C","Very Good", S58="D","Good",S58="F","Poor",OR(S58="No Grade",S58="Invalid Score"),"No Remark")</f>
        <v>Excellent</v>
      </c>
    </row>
    <row r="59" spans="1:20" x14ac:dyDescent="0.2">
      <c r="A59" s="1" t="s">
        <v>190</v>
      </c>
      <c r="B59" s="7">
        <f t="shared" si="0"/>
        <v>45542.653877314813</v>
      </c>
      <c r="C59" s="8">
        <f t="shared" si="4"/>
        <v>45542.653877314813</v>
      </c>
      <c r="D59" s="9">
        <f t="shared" si="5"/>
        <v>0.65387731481314404</v>
      </c>
      <c r="E59" s="1" t="s">
        <v>180</v>
      </c>
      <c r="F59" s="1" t="s">
        <v>191</v>
      </c>
      <c r="G59" s="1" t="str">
        <f t="shared" si="6"/>
        <v>Galvin</v>
      </c>
      <c r="H59" s="1" t="s">
        <v>192</v>
      </c>
      <c r="I59" s="1" t="str">
        <f t="shared" si="7"/>
        <v>Irwin</v>
      </c>
      <c r="J59" s="1" t="str">
        <f t="shared" si="1"/>
        <v>Galvin Irwin</v>
      </c>
      <c r="K59" s="1" t="str">
        <f t="shared" si="2"/>
        <v>Unique</v>
      </c>
      <c r="L59" s="1" t="str">
        <f t="shared" si="9"/>
        <v>galvinirwin@3mtt.com</v>
      </c>
      <c r="M59" s="1" t="s">
        <v>21</v>
      </c>
      <c r="N59" s="1" t="str">
        <f t="shared" si="8"/>
        <v>Male</v>
      </c>
      <c r="O59" s="1">
        <v>11</v>
      </c>
      <c r="P59" s="1">
        <v>5</v>
      </c>
      <c r="Q59" s="1">
        <v>22</v>
      </c>
      <c r="R59" s="2" cm="1">
        <f t="array" ref="R59">IF(AND(ISNUMBER(O59:Q59),SUM(O59:Q59)&lt;100),SUM(O59:Q59),"No Score")</f>
        <v>38</v>
      </c>
      <c r="S59" t="str" cm="1">
        <f t="array" ref="S59">_xlfn.IFS(AND(R59 &gt;=91,R59 &lt;=100),"A+",AND(R59 &gt;=71,R59 &lt;=90),"A",AND(R59 &gt;=61,R59 &lt;=70),"B",AND(R59 &gt;=51,R59 &lt;=60),"C",AND(R59 &gt;=40,R59 &lt;=50),"D",R59 &lt;40,"F",R59="No Score","No Grade",OR(R59&gt;100,R59&lt;0),"Invalid score")</f>
        <v>F</v>
      </c>
      <c r="T59" t="str" cm="1">
        <f t="array" ref="T59">_xlfn.IFS(S59="A+","Distinction",S59="A","Excellent", S59="B","Credit",S59="C","Very Good", S59="D","Good",S59="F","Poor",OR(S59="No Grade",S59="Invalid Score"),"No Remark")</f>
        <v>Poor</v>
      </c>
    </row>
    <row r="60" spans="1:20" x14ac:dyDescent="0.2">
      <c r="A60" s="1" t="s">
        <v>193</v>
      </c>
      <c r="B60" s="7">
        <f t="shared" si="0"/>
        <v>45542.705289351848</v>
      </c>
      <c r="C60" s="8">
        <f t="shared" si="4"/>
        <v>45542.705289351848</v>
      </c>
      <c r="D60" s="9">
        <f t="shared" si="5"/>
        <v>0.70528935184847796</v>
      </c>
      <c r="E60" s="1" t="s">
        <v>194</v>
      </c>
      <c r="F60" s="1" t="s">
        <v>195</v>
      </c>
      <c r="G60" s="1" t="str">
        <f t="shared" si="6"/>
        <v>Joshua</v>
      </c>
      <c r="H60" s="1" t="s">
        <v>196</v>
      </c>
      <c r="I60" s="1" t="str">
        <f t="shared" si="7"/>
        <v>Okpe</v>
      </c>
      <c r="J60" s="1" t="str">
        <f t="shared" si="1"/>
        <v>Joshua Okpe</v>
      </c>
      <c r="K60" s="1" t="str">
        <f t="shared" si="2"/>
        <v>Unique</v>
      </c>
      <c r="L60" s="1" t="str">
        <f t="shared" si="9"/>
        <v>joshuaokpe@3mtt.com</v>
      </c>
      <c r="M60" s="1" t="s">
        <v>21</v>
      </c>
      <c r="N60" s="1" t="str">
        <f t="shared" si="8"/>
        <v>Male</v>
      </c>
      <c r="O60" s="1">
        <v>15</v>
      </c>
      <c r="P60" s="1">
        <v>18</v>
      </c>
      <c r="Q60" s="1">
        <v>50</v>
      </c>
      <c r="R60" s="2" cm="1">
        <f t="array" ref="R60">IF(AND(ISNUMBER(O60:Q60),SUM(O60:Q60)&lt;100),SUM(O60:Q60),"No Score")</f>
        <v>83</v>
      </c>
      <c r="S60" t="str" cm="1">
        <f t="array" ref="S60">_xlfn.IFS(AND(R60 &gt;=91,R60 &lt;=100),"A+",AND(R60 &gt;=71,R60 &lt;=90),"A",AND(R60 &gt;=61,R60 &lt;=70),"B",AND(R60 &gt;=51,R60 &lt;=60),"C",AND(R60 &gt;=40,R60 &lt;=50),"D",R60 &lt;40,"F",R60="No Score","No Grade",OR(R60&gt;100,R60&lt;0),"Invalid score")</f>
        <v>A</v>
      </c>
      <c r="T60" t="str" cm="1">
        <f t="array" ref="T60">_xlfn.IFS(S60="A+","Distinction",S60="A","Excellent", S60="B","Credit",S60="C","Very Good", S60="D","Good",S60="F","Poor",OR(S60="No Grade",S60="Invalid Score"),"No Remark")</f>
        <v>Excellent</v>
      </c>
    </row>
    <row r="61" spans="1:20" x14ac:dyDescent="0.2">
      <c r="A61" s="1" t="s">
        <v>197</v>
      </c>
      <c r="B61" s="7">
        <f t="shared" si="0"/>
        <v>45542.705879629626</v>
      </c>
      <c r="C61" s="8">
        <f t="shared" si="4"/>
        <v>45542.705879629626</v>
      </c>
      <c r="D61" s="9">
        <f t="shared" si="5"/>
        <v>0.70587962962599704</v>
      </c>
      <c r="E61" s="1" t="s">
        <v>194</v>
      </c>
      <c r="F61" s="1" t="s">
        <v>198</v>
      </c>
      <c r="G61" s="1" t="str">
        <f t="shared" si="6"/>
        <v>Sarah</v>
      </c>
      <c r="H61" s="1" t="s">
        <v>154</v>
      </c>
      <c r="I61" s="1" t="str">
        <f t="shared" si="7"/>
        <v>John</v>
      </c>
      <c r="J61" s="1" t="str">
        <f t="shared" si="1"/>
        <v>Sarah John</v>
      </c>
      <c r="K61" s="1" t="str">
        <f t="shared" si="2"/>
        <v>Duplicate</v>
      </c>
      <c r="L61" s="1" t="str">
        <f t="shared" si="9"/>
        <v>sarahjohn@3mtt.com</v>
      </c>
      <c r="M61" s="1" t="s">
        <v>12</v>
      </c>
      <c r="N61" s="1" t="str">
        <f t="shared" si="8"/>
        <v>Female</v>
      </c>
      <c r="O61" s="1">
        <v>17</v>
      </c>
      <c r="P61" s="1">
        <v>19</v>
      </c>
      <c r="Q61" s="1">
        <v>53</v>
      </c>
      <c r="R61" s="2" cm="1">
        <f t="array" ref="R61">IF(AND(ISNUMBER(O61:Q61),SUM(O61:Q61)&lt;100),SUM(O61:Q61),"No Score")</f>
        <v>89</v>
      </c>
      <c r="S61" t="str" cm="1">
        <f t="array" ref="S61">_xlfn.IFS(AND(R61 &gt;=91,R61 &lt;=100),"A+",AND(R61 &gt;=71,R61 &lt;=90),"A",AND(R61 &gt;=61,R61 &lt;=70),"B",AND(R61 &gt;=51,R61 &lt;=60),"C",AND(R61 &gt;=40,R61 &lt;=50),"D",R61 &lt;40,"F",R61="No Score","No Grade",OR(R61&gt;100,R61&lt;0),"Invalid score")</f>
        <v>A</v>
      </c>
      <c r="T61" t="str" cm="1">
        <f t="array" ref="T61">_xlfn.IFS(S61="A+","Distinction",S61="A","Excellent", S61="B","Credit",S61="C","Very Good", S61="D","Good",S61="F","Poor",OR(S61="No Grade",S61="Invalid Score"),"No Remark")</f>
        <v>Excellent</v>
      </c>
    </row>
    <row r="62" spans="1:20" x14ac:dyDescent="0.2">
      <c r="A62" s="1" t="s">
        <v>199</v>
      </c>
      <c r="B62" s="7">
        <f t="shared" si="0"/>
        <v>45542.706134259257</v>
      </c>
      <c r="C62" s="8">
        <f t="shared" si="4"/>
        <v>45542.706134259257</v>
      </c>
      <c r="D62" s="9">
        <f t="shared" si="5"/>
        <v>0.70613425925694173</v>
      </c>
      <c r="E62" s="1" t="s">
        <v>200</v>
      </c>
      <c r="F62" s="1" t="s">
        <v>201</v>
      </c>
      <c r="G62" s="1" t="str">
        <f t="shared" si="6"/>
        <v>Bayo</v>
      </c>
      <c r="H62" s="1" t="s">
        <v>202</v>
      </c>
      <c r="I62" s="1" t="str">
        <f t="shared" si="7"/>
        <v>Adewoye</v>
      </c>
      <c r="J62" s="1" t="str">
        <f t="shared" si="1"/>
        <v>Bayo Adewoye</v>
      </c>
      <c r="K62" s="1" t="str">
        <f t="shared" si="2"/>
        <v>Unique</v>
      </c>
      <c r="L62" s="1" t="str">
        <f t="shared" si="9"/>
        <v>bayoadewoye@3mtt.com</v>
      </c>
      <c r="M62" s="1" t="s">
        <v>21</v>
      </c>
      <c r="N62" s="1" t="str">
        <f t="shared" si="8"/>
        <v>Male</v>
      </c>
      <c r="O62" s="1">
        <v>15</v>
      </c>
      <c r="P62" s="1">
        <v>18</v>
      </c>
      <c r="Q62" s="1">
        <v>55</v>
      </c>
      <c r="R62" s="2" cm="1">
        <f t="array" ref="R62">IF(AND(ISNUMBER(O62:Q62),SUM(O62:Q62)&lt;100),SUM(O62:Q62),"No Score")</f>
        <v>88</v>
      </c>
      <c r="S62" t="str" cm="1">
        <f t="array" ref="S62">_xlfn.IFS(AND(R62 &gt;=91,R62 &lt;=100),"A+",AND(R62 &gt;=71,R62 &lt;=90),"A",AND(R62 &gt;=61,R62 &lt;=70),"B",AND(R62 &gt;=51,R62 &lt;=60),"C",AND(R62 &gt;=40,R62 &lt;=50),"D",R62 &lt;40,"F",R62="No Score","No Grade",OR(R62&gt;100,R62&lt;0),"Invalid score")</f>
        <v>A</v>
      </c>
      <c r="T62" t="str" cm="1">
        <f t="array" ref="T62">_xlfn.IFS(S62="A+","Distinction",S62="A","Excellent", S62="B","Credit",S62="C","Very Good", S62="D","Good",S62="F","Poor",OR(S62="No Grade",S62="Invalid Score"),"No Remark")</f>
        <v>Excellent</v>
      </c>
    </row>
    <row r="63" spans="1:20" x14ac:dyDescent="0.2">
      <c r="A63" s="1" t="s">
        <v>203</v>
      </c>
      <c r="B63" s="7">
        <f t="shared" si="0"/>
        <v>45542.70648148148</v>
      </c>
      <c r="C63" s="8">
        <f t="shared" si="4"/>
        <v>45542.70648148148</v>
      </c>
      <c r="D63" s="9">
        <f t="shared" si="5"/>
        <v>0.70648148148029577</v>
      </c>
      <c r="E63" s="1" t="s">
        <v>194</v>
      </c>
      <c r="F63" s="1" t="s">
        <v>204</v>
      </c>
      <c r="G63" s="1" t="str">
        <f t="shared" si="6"/>
        <v>Felicia</v>
      </c>
      <c r="H63" s="1" t="s">
        <v>205</v>
      </c>
      <c r="I63" s="1" t="str">
        <f t="shared" si="7"/>
        <v>Chukwu</v>
      </c>
      <c r="J63" s="1" t="str">
        <f t="shared" si="1"/>
        <v>Felicia Chukwu</v>
      </c>
      <c r="K63" s="1" t="str">
        <f t="shared" si="2"/>
        <v>Unique</v>
      </c>
      <c r="L63" s="1" t="str">
        <f t="shared" si="9"/>
        <v>feliciachukwu@3mtt.com</v>
      </c>
      <c r="M63" s="1" t="s">
        <v>12</v>
      </c>
      <c r="N63" s="1" t="str">
        <f t="shared" si="8"/>
        <v>Female</v>
      </c>
      <c r="O63" s="1">
        <v>12</v>
      </c>
      <c r="P63" s="1">
        <v>15</v>
      </c>
      <c r="Q63" s="1">
        <v>49</v>
      </c>
      <c r="R63" s="2" cm="1">
        <f t="array" ref="R63">IF(AND(ISNUMBER(O63:Q63),SUM(O63:Q63)&lt;100),SUM(O63:Q63),"No Score")</f>
        <v>76</v>
      </c>
      <c r="S63" t="str" cm="1">
        <f t="array" ref="S63">_xlfn.IFS(AND(R63 &gt;=91,R63 &lt;=100),"A+",AND(R63 &gt;=71,R63 &lt;=90),"A",AND(R63 &gt;=61,R63 &lt;=70),"B",AND(R63 &gt;=51,R63 &lt;=60),"C",AND(R63 &gt;=40,R63 &lt;=50),"D",R63 &lt;40,"F",R63="No Score","No Grade",OR(R63&gt;100,R63&lt;0),"Invalid score")</f>
        <v>A</v>
      </c>
      <c r="T63" t="str" cm="1">
        <f t="array" ref="T63">_xlfn.IFS(S63="A+","Distinction",S63="A","Excellent", S63="B","Credit",S63="C","Very Good", S63="D","Good",S63="F","Poor",OR(S63="No Grade",S63="Invalid Score"),"No Remark")</f>
        <v>Excellent</v>
      </c>
    </row>
    <row r="64" spans="1:20" x14ac:dyDescent="0.2">
      <c r="A64" s="1" t="s">
        <v>206</v>
      </c>
      <c r="B64" s="7">
        <f t="shared" si="0"/>
        <v>45542.707013888888</v>
      </c>
      <c r="C64" s="8">
        <f t="shared" si="4"/>
        <v>45542.707013888888</v>
      </c>
      <c r="D64" s="9">
        <f t="shared" si="5"/>
        <v>0.7070138888884685</v>
      </c>
      <c r="E64" s="1" t="s">
        <v>194</v>
      </c>
      <c r="F64" s="1" t="s">
        <v>207</v>
      </c>
      <c r="G64" s="1" t="str">
        <f t="shared" si="6"/>
        <v>Charles</v>
      </c>
      <c r="H64" s="1" t="s">
        <v>208</v>
      </c>
      <c r="I64" s="1" t="str">
        <f t="shared" si="7"/>
        <v>Donald</v>
      </c>
      <c r="J64" s="1" t="str">
        <f t="shared" si="1"/>
        <v>Charles Donald</v>
      </c>
      <c r="K64" s="1" t="str">
        <f t="shared" si="2"/>
        <v>Unique</v>
      </c>
      <c r="L64" s="1" t="str">
        <f t="shared" si="9"/>
        <v>charlesdonald@3mtt.com</v>
      </c>
      <c r="M64" s="1" t="s">
        <v>21</v>
      </c>
      <c r="N64" s="1" t="str">
        <f t="shared" si="8"/>
        <v>Male</v>
      </c>
      <c r="O64" s="1">
        <v>10</v>
      </c>
      <c r="P64" s="1">
        <v>14</v>
      </c>
      <c r="Q64" s="1">
        <v>52</v>
      </c>
      <c r="R64" s="2" cm="1">
        <f t="array" ref="R64">IF(AND(ISNUMBER(O64:Q64),SUM(O64:Q64)&lt;100),SUM(O64:Q64),"No Score")</f>
        <v>76</v>
      </c>
      <c r="S64" t="str" cm="1">
        <f t="array" ref="S64">_xlfn.IFS(AND(R64 &gt;=91,R64 &lt;=100),"A+",AND(R64 &gt;=71,R64 &lt;=90),"A",AND(R64 &gt;=61,R64 &lt;=70),"B",AND(R64 &gt;=51,R64 &lt;=60),"C",AND(R64 &gt;=40,R64 &lt;=50),"D",R64 &lt;40,"F",R64="No Score","No Grade",OR(R64&gt;100,R64&lt;0),"Invalid score")</f>
        <v>A</v>
      </c>
      <c r="T64" t="str" cm="1">
        <f t="array" ref="T64">_xlfn.IFS(S64="A+","Distinction",S64="A","Excellent", S64="B","Credit",S64="C","Very Good", S64="D","Good",S64="F","Poor",OR(S64="No Grade",S64="Invalid Score"),"No Remark")</f>
        <v>Excellent</v>
      </c>
    </row>
    <row r="65" spans="1:20" x14ac:dyDescent="0.2">
      <c r="A65" s="1" t="s">
        <v>209</v>
      </c>
      <c r="B65" s="7">
        <f t="shared" si="0"/>
        <v>45542.70789351852</v>
      </c>
      <c r="C65" s="8">
        <f t="shared" si="4"/>
        <v>45542.70789351852</v>
      </c>
      <c r="D65" s="9">
        <f t="shared" si="5"/>
        <v>0.70789351851999527</v>
      </c>
      <c r="E65" s="1" t="s">
        <v>194</v>
      </c>
      <c r="F65" s="1" t="s">
        <v>210</v>
      </c>
      <c r="G65" s="1" t="str">
        <f t="shared" si="6"/>
        <v>Francis</v>
      </c>
      <c r="H65" s="1" t="s">
        <v>211</v>
      </c>
      <c r="I65" s="1" t="str">
        <f t="shared" si="7"/>
        <v>Audu</v>
      </c>
      <c r="J65" s="1" t="str">
        <f t="shared" si="1"/>
        <v>Francis Audu</v>
      </c>
      <c r="K65" s="1" t="str">
        <f t="shared" si="2"/>
        <v>Unique</v>
      </c>
      <c r="L65" s="1" t="str">
        <f t="shared" si="9"/>
        <v>francisaudu@3mtt.com</v>
      </c>
      <c r="M65" s="1" t="s">
        <v>21</v>
      </c>
      <c r="N65" s="1" t="str">
        <f t="shared" si="8"/>
        <v>Male</v>
      </c>
      <c r="O65" s="1">
        <v>19</v>
      </c>
      <c r="P65" s="1">
        <v>16</v>
      </c>
      <c r="Q65" s="1">
        <v>51</v>
      </c>
      <c r="R65" s="2" cm="1">
        <f t="array" ref="R65">IF(AND(ISNUMBER(O65:Q65),SUM(O65:Q65)&lt;100),SUM(O65:Q65),"No Score")</f>
        <v>86</v>
      </c>
      <c r="S65" t="str" cm="1">
        <f t="array" ref="S65">_xlfn.IFS(AND(R65 &gt;=91,R65 &lt;=100),"A+",AND(R65 &gt;=71,R65 &lt;=90),"A",AND(R65 &gt;=61,R65 &lt;=70),"B",AND(R65 &gt;=51,R65 &lt;=60),"C",AND(R65 &gt;=40,R65 &lt;=50),"D",R65 &lt;40,"F",R65="No Score","No Grade",OR(R65&gt;100,R65&lt;0),"Invalid score")</f>
        <v>A</v>
      </c>
      <c r="T65" t="str" cm="1">
        <f t="array" ref="T65">_xlfn.IFS(S65="A+","Distinction",S65="A","Excellent", S65="B","Credit",S65="C","Very Good", S65="D","Good",S65="F","Poor",OR(S65="No Grade",S65="Invalid Score"),"No Remark")</f>
        <v>Excellent</v>
      </c>
    </row>
    <row r="66" spans="1:20" x14ac:dyDescent="0.2">
      <c r="A66" s="1" t="s">
        <v>216</v>
      </c>
      <c r="B66" s="7">
        <f t="shared" ref="B66:B129" si="10">VALUE((SUBSTITUTE(A66,"GMT+1","")))</f>
        <v>45542.7112037037</v>
      </c>
      <c r="C66" s="8">
        <f t="shared" si="4"/>
        <v>45542.7112037037</v>
      </c>
      <c r="D66" s="9">
        <f t="shared" si="5"/>
        <v>0.71120370370044839</v>
      </c>
      <c r="E66" s="1" t="s">
        <v>213</v>
      </c>
      <c r="F66" s="1" t="s">
        <v>217</v>
      </c>
      <c r="G66" s="1" t="str">
        <f t="shared" si="6"/>
        <v>Nkechi</v>
      </c>
      <c r="H66" s="1" t="s">
        <v>218</v>
      </c>
      <c r="I66" s="1" t="str">
        <f t="shared" si="7"/>
        <v>Okafor</v>
      </c>
      <c r="J66" s="1" t="str">
        <f t="shared" ref="J66:J129" si="11">_xlfn.CONCAT(G66," ",I66)</f>
        <v>Nkechi Okafor</v>
      </c>
      <c r="K66" s="1" t="str">
        <f t="shared" ref="K66:K129" si="12">IF(COUNTIF($J$2:$J$258,J66)&gt;1,"Duplicate","Unique")</f>
        <v>Unique</v>
      </c>
      <c r="L66" s="1" t="str">
        <f>_xlfn.CONCAT(LOWER(G66),LOWER(I166),"@3mtt.com")</f>
        <v>nkechipaul@3mtt.com</v>
      </c>
      <c r="M66" s="1" t="s">
        <v>42</v>
      </c>
      <c r="N66" s="1" t="str">
        <f t="shared" si="8"/>
        <v>Female</v>
      </c>
      <c r="O66" s="1">
        <v>15</v>
      </c>
      <c r="P66" s="1">
        <v>17</v>
      </c>
      <c r="Q66" s="1">
        <v>50</v>
      </c>
      <c r="R66" s="2" cm="1">
        <f t="array" ref="R66">IF(AND(ISNUMBER(O66:Q66),SUM(O66:Q66)&lt;100),SUM(O66:Q66),"No Score")</f>
        <v>82</v>
      </c>
      <c r="S66" t="str" cm="1">
        <f t="array" ref="S66">_xlfn.IFS(AND(R66 &gt;=91,R66 &lt;=100),"A+",AND(R66 &gt;=71,R66 &lt;=90),"A",AND(R66 &gt;=61,R66 &lt;=70),"B",AND(R66 &gt;=51,R66 &lt;=60),"C",AND(R66 &gt;=40,R66 &lt;=50),"D",R66 &lt;40,"F",R66="No Score","No Grade",OR(R66&gt;100,R66&lt;0),"Invalid score")</f>
        <v>A</v>
      </c>
      <c r="T66" t="str" cm="1">
        <f t="array" ref="T66">_xlfn.IFS(S66="A+","Distinction",S66="A","Excellent", S66="B","Credit",S66="C","Very Good", S66="D","Good",S66="F","Poor",OR(S66="No Grade",S66="Invalid Score"),"No Remark")</f>
        <v>Excellent</v>
      </c>
    </row>
    <row r="67" spans="1:20" x14ac:dyDescent="0.2">
      <c r="A67" s="1" t="s">
        <v>219</v>
      </c>
      <c r="B67" s="7">
        <f t="shared" si="10"/>
        <v>45542.71199074074</v>
      </c>
      <c r="C67" s="8">
        <f t="shared" ref="C67:C130" si="13">VALUE(SUBSTITUTE(A67,"GMT+1",""))</f>
        <v>45542.71199074074</v>
      </c>
      <c r="D67" s="9">
        <f t="shared" ref="D67:D130" si="14">MOD(C67,1)</f>
        <v>0.71199074073956581</v>
      </c>
      <c r="E67" s="1" t="s">
        <v>213</v>
      </c>
      <c r="F67" s="1" t="s">
        <v>220</v>
      </c>
      <c r="G67" s="1" t="str">
        <f t="shared" ref="G67:G130" si="15">PROPER(TRIM(F67))</f>
        <v>Kingsley</v>
      </c>
      <c r="H67" s="1" t="s">
        <v>221</v>
      </c>
      <c r="I67" s="1" t="str">
        <f t="shared" ref="I67:I130" si="16">PROPER(TRIM(H67))</f>
        <v>Abasi</v>
      </c>
      <c r="J67" s="1" t="str">
        <f t="shared" si="11"/>
        <v>Kingsley Abasi</v>
      </c>
      <c r="K67" s="1" t="str">
        <f t="shared" si="12"/>
        <v>Unique</v>
      </c>
      <c r="L67" s="1" t="str">
        <f t="shared" ref="L67:L98" si="17">_xlfn.CONCAT(LOWER(G67),LOWER(I67),"@3mtt.com")</f>
        <v>kingsleyabasi@3mtt.com</v>
      </c>
      <c r="M67" s="1" t="s">
        <v>35</v>
      </c>
      <c r="N67" s="1" t="str">
        <f t="shared" ref="N67:N130" si="18">IF(M67="Make","Male",PROPER(M67))</f>
        <v>Male</v>
      </c>
      <c r="O67" s="1">
        <v>18</v>
      </c>
      <c r="P67" s="1">
        <v>20</v>
      </c>
      <c r="Q67" s="1">
        <v>58</v>
      </c>
      <c r="R67" s="2" cm="1">
        <f t="array" ref="R67">IF(AND(ISNUMBER(O67:Q67),SUM(O67:Q67)&lt;100),SUM(O67:Q67),"No Score")</f>
        <v>96</v>
      </c>
      <c r="S67" t="str" cm="1">
        <f t="array" ref="S67">_xlfn.IFS(AND(R67 &gt;=91,R67 &lt;=100),"A+",AND(R67 &gt;=71,R67 &lt;=90),"A",AND(R67 &gt;=61,R67 &lt;=70),"B",AND(R67 &gt;=51,R67 &lt;=60),"C",AND(R67 &gt;=40,R67 &lt;=50),"D",R67 &lt;40,"F",R67="No Score","No Grade",OR(R67&gt;100,R67&lt;0),"Invalid score")</f>
        <v>A+</v>
      </c>
      <c r="T67" t="str" cm="1">
        <f t="array" ref="T67">_xlfn.IFS(S67="A+","Distinction",S67="A","Excellent", S67="B","Credit",S67="C","Very Good", S67="D","Good",S67="F","Poor",OR(S67="No Grade",S67="Invalid Score"),"No Remark")</f>
        <v>Distinction</v>
      </c>
    </row>
    <row r="68" spans="1:20" x14ac:dyDescent="0.2">
      <c r="A68" s="1" t="s">
        <v>222</v>
      </c>
      <c r="B68" s="7">
        <f t="shared" si="10"/>
        <v>45542.71266203704</v>
      </c>
      <c r="C68" s="8">
        <f t="shared" si="13"/>
        <v>45542.71266203704</v>
      </c>
      <c r="D68" s="9">
        <f t="shared" si="14"/>
        <v>0.71266203703999054</v>
      </c>
      <c r="E68" s="1" t="s">
        <v>213</v>
      </c>
      <c r="F68" s="1" t="s">
        <v>223</v>
      </c>
      <c r="G68" s="1" t="str">
        <f t="shared" si="15"/>
        <v>Ade</v>
      </c>
      <c r="H68" s="1" t="s">
        <v>224</v>
      </c>
      <c r="I68" s="1" t="str">
        <f t="shared" si="16"/>
        <v>Tijani</v>
      </c>
      <c r="J68" s="1" t="str">
        <f t="shared" si="11"/>
        <v>Ade Tijani</v>
      </c>
      <c r="K68" s="1" t="str">
        <f t="shared" si="12"/>
        <v>Unique</v>
      </c>
      <c r="L68" s="1" t="str">
        <f t="shared" si="17"/>
        <v>adetijani@3mtt.com</v>
      </c>
      <c r="M68" s="1" t="s">
        <v>35</v>
      </c>
      <c r="N68" s="1" t="str">
        <f t="shared" si="18"/>
        <v>Male</v>
      </c>
      <c r="O68" s="1">
        <v>17</v>
      </c>
      <c r="P68" s="1">
        <v>19</v>
      </c>
      <c r="Q68" s="1">
        <v>55</v>
      </c>
      <c r="R68" s="2" cm="1">
        <f t="array" ref="R68">IF(AND(ISNUMBER(O68:Q68),SUM(O68:Q68)&lt;100),SUM(O68:Q68),"No Score")</f>
        <v>91</v>
      </c>
      <c r="S68" t="str" cm="1">
        <f t="array" ref="S68">_xlfn.IFS(AND(R68 &gt;=91,R68 &lt;=100),"A+",AND(R68 &gt;=71,R68 &lt;=90),"A",AND(R68 &gt;=61,R68 &lt;=70),"B",AND(R68 &gt;=51,R68 &lt;=60),"C",AND(R68 &gt;=40,R68 &lt;=50),"D",R68 &lt;40,"F",R68="No Score","No Grade",OR(R68&gt;100,R68&lt;0),"Invalid score")</f>
        <v>A+</v>
      </c>
      <c r="T68" t="str" cm="1">
        <f t="array" ref="T68">_xlfn.IFS(S68="A+","Distinction",S68="A","Excellent", S68="B","Credit",S68="C","Very Good", S68="D","Good",S68="F","Poor",OR(S68="No Grade",S68="Invalid Score"),"No Remark")</f>
        <v>Distinction</v>
      </c>
    </row>
    <row r="69" spans="1:20" x14ac:dyDescent="0.2">
      <c r="A69" s="1" t="s">
        <v>225</v>
      </c>
      <c r="B69" s="7">
        <f t="shared" si="10"/>
        <v>45542.713101851848</v>
      </c>
      <c r="C69" s="8">
        <f t="shared" si="13"/>
        <v>45542.713101851848</v>
      </c>
      <c r="D69" s="9">
        <f t="shared" si="14"/>
        <v>0.71310185184847796</v>
      </c>
      <c r="E69" s="1" t="s">
        <v>213</v>
      </c>
      <c r="F69" s="1" t="s">
        <v>226</v>
      </c>
      <c r="G69" s="1" t="str">
        <f t="shared" si="15"/>
        <v>Mary</v>
      </c>
      <c r="H69" s="1" t="s">
        <v>227</v>
      </c>
      <c r="I69" s="1" t="str">
        <f t="shared" si="16"/>
        <v>Moses</v>
      </c>
      <c r="J69" s="1" t="str">
        <f t="shared" si="11"/>
        <v>Mary Moses</v>
      </c>
      <c r="K69" s="1" t="str">
        <f t="shared" si="12"/>
        <v>Unique</v>
      </c>
      <c r="L69" s="1" t="str">
        <f t="shared" si="17"/>
        <v>marymoses@3mtt.com</v>
      </c>
      <c r="M69" s="1" t="s">
        <v>42</v>
      </c>
      <c r="N69" s="1" t="str">
        <f t="shared" si="18"/>
        <v>Female</v>
      </c>
      <c r="O69" s="1">
        <v>19</v>
      </c>
      <c r="P69" s="1">
        <v>20</v>
      </c>
      <c r="Q69" s="1">
        <v>58</v>
      </c>
      <c r="R69" s="2" cm="1">
        <f t="array" ref="R69">IF(AND(ISNUMBER(O69:Q69),SUM(O69:Q69)&lt;100),SUM(O69:Q69),"No Score")</f>
        <v>97</v>
      </c>
      <c r="S69" t="str" cm="1">
        <f t="array" ref="S69">_xlfn.IFS(AND(R69 &gt;=91,R69 &lt;=100),"A+",AND(R69 &gt;=71,R69 &lt;=90),"A",AND(R69 &gt;=61,R69 &lt;=70),"B",AND(R69 &gt;=51,R69 &lt;=60),"C",AND(R69 &gt;=40,R69 &lt;=50),"D",R69 &lt;40,"F",R69="No Score","No Grade",OR(R69&gt;100,R69&lt;0),"Invalid score")</f>
        <v>A+</v>
      </c>
      <c r="T69" t="str" cm="1">
        <f t="array" ref="T69">_xlfn.IFS(S69="A+","Distinction",S69="A","Excellent", S69="B","Credit",S69="C","Very Good", S69="D","Good",S69="F","Poor",OR(S69="No Grade",S69="Invalid Score"),"No Remark")</f>
        <v>Distinction</v>
      </c>
    </row>
    <row r="70" spans="1:20" x14ac:dyDescent="0.2">
      <c r="A70" s="1" t="s">
        <v>228</v>
      </c>
      <c r="B70" s="7">
        <f t="shared" si="10"/>
        <v>45542.744583333333</v>
      </c>
      <c r="C70" s="8">
        <f t="shared" si="13"/>
        <v>45542.744583333333</v>
      </c>
      <c r="D70" s="9">
        <f t="shared" si="14"/>
        <v>0.74458333333313931</v>
      </c>
      <c r="E70" s="1" t="s">
        <v>229</v>
      </c>
      <c r="F70" s="1" t="s">
        <v>230</v>
      </c>
      <c r="G70" s="1" t="str">
        <f t="shared" si="15"/>
        <v>Omolara</v>
      </c>
      <c r="H70" s="1" t="s">
        <v>231</v>
      </c>
      <c r="I70" s="1" t="str">
        <f t="shared" si="16"/>
        <v>Akinmusira</v>
      </c>
      <c r="J70" s="1" t="str">
        <f t="shared" si="11"/>
        <v>Omolara Akinmusira</v>
      </c>
      <c r="K70" s="1" t="str">
        <f t="shared" si="12"/>
        <v>Unique</v>
      </c>
      <c r="L70" s="1" t="str">
        <f t="shared" si="17"/>
        <v>omolaraakinmusira@3mtt.com</v>
      </c>
      <c r="M70" s="1" t="s">
        <v>17</v>
      </c>
      <c r="N70" s="1" t="str">
        <f t="shared" si="18"/>
        <v xml:space="preserve">Female </v>
      </c>
      <c r="O70" s="1">
        <v>15</v>
      </c>
      <c r="P70" s="1">
        <v>13</v>
      </c>
      <c r="Q70" s="1">
        <v>30</v>
      </c>
      <c r="R70" s="2" cm="1">
        <f t="array" ref="R70">IF(AND(ISNUMBER(O70:Q70),SUM(O70:Q70)&lt;100),SUM(O70:Q70),"No Score")</f>
        <v>58</v>
      </c>
      <c r="S70" t="str" cm="1">
        <f t="array" ref="S70">_xlfn.IFS(AND(R70 &gt;=91,R70 &lt;=100),"A+",AND(R70 &gt;=71,R70 &lt;=90),"A",AND(R70 &gt;=61,R70 &lt;=70),"B",AND(R70 &gt;=51,R70 &lt;=60),"C",AND(R70 &gt;=40,R70 &lt;=50),"D",R70 &lt;40,"F",R70="No Score","No Grade",OR(R70&gt;100,R70&lt;0),"Invalid score")</f>
        <v>C</v>
      </c>
      <c r="T70" t="str" cm="1">
        <f t="array" ref="T70">_xlfn.IFS(S70="A+","Distinction",S70="A","Excellent", S70="B","Credit",S70="C","Very Good", S70="D","Good",S70="F","Poor",OR(S70="No Grade",S70="Invalid Score"),"No Remark")</f>
        <v>Very Good</v>
      </c>
    </row>
    <row r="71" spans="1:20" x14ac:dyDescent="0.2">
      <c r="A71" s="1" t="s">
        <v>232</v>
      </c>
      <c r="B71" s="7">
        <f t="shared" si="10"/>
        <v>45542.748310185183</v>
      </c>
      <c r="C71" s="8">
        <f t="shared" si="13"/>
        <v>45542.748310185183</v>
      </c>
      <c r="D71" s="9">
        <f t="shared" si="14"/>
        <v>0.74831018518307246</v>
      </c>
      <c r="E71" s="1" t="s">
        <v>233</v>
      </c>
      <c r="F71" s="1" t="s">
        <v>234</v>
      </c>
      <c r="G71" s="1" t="str">
        <f t="shared" si="15"/>
        <v>Omo</v>
      </c>
      <c r="H71" s="1" t="s">
        <v>235</v>
      </c>
      <c r="I71" s="1" t="str">
        <f t="shared" si="16"/>
        <v>Oko</v>
      </c>
      <c r="J71" s="1" t="str">
        <f t="shared" si="11"/>
        <v>Omo Oko</v>
      </c>
      <c r="K71" s="1" t="str">
        <f t="shared" si="12"/>
        <v>Unique</v>
      </c>
      <c r="L71" s="1" t="str">
        <f t="shared" si="17"/>
        <v>omooko@3mtt.com</v>
      </c>
      <c r="M71" s="1" t="s">
        <v>21</v>
      </c>
      <c r="N71" s="1" t="str">
        <f t="shared" si="18"/>
        <v>Male</v>
      </c>
      <c r="O71" s="1">
        <v>12</v>
      </c>
      <c r="P71" s="1">
        <v>9</v>
      </c>
      <c r="Q71" s="1">
        <v>49</v>
      </c>
      <c r="R71" s="2" cm="1">
        <f t="array" ref="R71">IF(AND(ISNUMBER(O71:Q71),SUM(O71:Q71)&lt;100),SUM(O71:Q71),"No Score")</f>
        <v>70</v>
      </c>
      <c r="S71" t="str" cm="1">
        <f t="array" ref="S71">_xlfn.IFS(AND(R71 &gt;=91,R71 &lt;=100),"A+",AND(R71 &gt;=71,R71 &lt;=90),"A",AND(R71 &gt;=61,R71 &lt;=70),"B",AND(R71 &gt;=51,R71 &lt;=60),"C",AND(R71 &gt;=40,R71 &lt;=50),"D",R71 &lt;40,"F",R71="No Score","No Grade",OR(R71&gt;100,R71&lt;0),"Invalid score")</f>
        <v>B</v>
      </c>
      <c r="T71" t="str" cm="1">
        <f t="array" ref="T71">_xlfn.IFS(S71="A+","Distinction",S71="A","Excellent", S71="B","Credit",S71="C","Very Good", S71="D","Good",S71="F","Poor",OR(S71="No Grade",S71="Invalid Score"),"No Remark")</f>
        <v>Credit</v>
      </c>
    </row>
    <row r="72" spans="1:20" x14ac:dyDescent="0.2">
      <c r="A72" s="1" t="s">
        <v>236</v>
      </c>
      <c r="B72" s="7">
        <f t="shared" si="10"/>
        <v>45542.749548611115</v>
      </c>
      <c r="C72" s="8">
        <f t="shared" si="13"/>
        <v>45542.749548611115</v>
      </c>
      <c r="D72" s="9">
        <f t="shared" si="14"/>
        <v>0.74954861111473292</v>
      </c>
      <c r="E72" s="1" t="s">
        <v>233</v>
      </c>
      <c r="F72" s="1" t="s">
        <v>237</v>
      </c>
      <c r="G72" s="1" t="str">
        <f t="shared" si="15"/>
        <v>Senior</v>
      </c>
      <c r="H72" s="1" t="s">
        <v>238</v>
      </c>
      <c r="I72" s="1" t="str">
        <f t="shared" si="16"/>
        <v>Akigbo</v>
      </c>
      <c r="J72" s="1" t="str">
        <f t="shared" si="11"/>
        <v>Senior Akigbo</v>
      </c>
      <c r="K72" s="1" t="str">
        <f t="shared" si="12"/>
        <v>Unique</v>
      </c>
      <c r="L72" s="1" t="str">
        <f t="shared" si="17"/>
        <v>seniorakigbo@3mtt.com</v>
      </c>
      <c r="M72" s="1" t="s">
        <v>12</v>
      </c>
      <c r="N72" s="1" t="str">
        <f t="shared" si="18"/>
        <v>Female</v>
      </c>
      <c r="O72" s="1">
        <v>19</v>
      </c>
      <c r="P72" s="1">
        <v>14</v>
      </c>
      <c r="Q72" s="1">
        <v>43</v>
      </c>
      <c r="R72" s="2" cm="1">
        <f t="array" ref="R72">IF(AND(ISNUMBER(O72:Q72),SUM(O72:Q72)&lt;100),SUM(O72:Q72),"No Score")</f>
        <v>76</v>
      </c>
      <c r="S72" t="str" cm="1">
        <f t="array" ref="S72">_xlfn.IFS(AND(R72 &gt;=91,R72 &lt;=100),"A+",AND(R72 &gt;=71,R72 &lt;=90),"A",AND(R72 &gt;=61,R72 &lt;=70),"B",AND(R72 &gt;=51,R72 &lt;=60),"C",AND(R72 &gt;=40,R72 &lt;=50),"D",R72 &lt;40,"F",R72="No Score","No Grade",OR(R72&gt;100,R72&lt;0),"Invalid score")</f>
        <v>A</v>
      </c>
      <c r="T72" t="str" cm="1">
        <f t="array" ref="T72">_xlfn.IFS(S72="A+","Distinction",S72="A","Excellent", S72="B","Credit",S72="C","Very Good", S72="D","Good",S72="F","Poor",OR(S72="No Grade",S72="Invalid Score"),"No Remark")</f>
        <v>Excellent</v>
      </c>
    </row>
    <row r="73" spans="1:20" x14ac:dyDescent="0.2">
      <c r="A73" s="1" t="s">
        <v>239</v>
      </c>
      <c r="B73" s="7">
        <f t="shared" si="10"/>
        <v>45542.750231481485</v>
      </c>
      <c r="C73" s="8">
        <f t="shared" si="13"/>
        <v>45542.750231481485</v>
      </c>
      <c r="D73" s="9">
        <f t="shared" si="14"/>
        <v>0.75023148148466134</v>
      </c>
      <c r="E73" s="1" t="s">
        <v>233</v>
      </c>
      <c r="F73" s="1" t="s">
        <v>240</v>
      </c>
      <c r="G73" s="1" t="str">
        <f t="shared" si="15"/>
        <v>Shema</v>
      </c>
      <c r="H73" s="1" t="s">
        <v>241</v>
      </c>
      <c r="I73" s="1" t="str">
        <f t="shared" si="16"/>
        <v>Emma</v>
      </c>
      <c r="J73" s="1" t="str">
        <f t="shared" si="11"/>
        <v>Shema Emma</v>
      </c>
      <c r="K73" s="1" t="str">
        <f t="shared" si="12"/>
        <v>Unique</v>
      </c>
      <c r="L73" s="1" t="str">
        <f t="shared" si="17"/>
        <v>shemaemma@3mtt.com</v>
      </c>
      <c r="M73" s="1" t="s">
        <v>21</v>
      </c>
      <c r="N73" s="1" t="str">
        <f t="shared" si="18"/>
        <v>Male</v>
      </c>
      <c r="O73" s="1">
        <v>16</v>
      </c>
      <c r="P73" s="1">
        <v>19</v>
      </c>
      <c r="Q73" s="1">
        <v>58</v>
      </c>
      <c r="R73" s="2" cm="1">
        <f t="array" ref="R73">IF(AND(ISNUMBER(O73:Q73),SUM(O73:Q73)&lt;100),SUM(O73:Q73),"No Score")</f>
        <v>93</v>
      </c>
      <c r="S73" t="str" cm="1">
        <f t="array" ref="S73">_xlfn.IFS(AND(R73 &gt;=91,R73 &lt;=100),"A+",AND(R73 &gt;=71,R73 &lt;=90),"A",AND(R73 &gt;=61,R73 &lt;=70),"B",AND(R73 &gt;=51,R73 &lt;=60),"C",AND(R73 &gt;=40,R73 &lt;=50),"D",R73 &lt;40,"F",R73="No Score","No Grade",OR(R73&gt;100,R73&lt;0),"Invalid score")</f>
        <v>A+</v>
      </c>
      <c r="T73" t="str" cm="1">
        <f t="array" ref="T73">_xlfn.IFS(S73="A+","Distinction",S73="A","Excellent", S73="B","Credit",S73="C","Very Good", S73="D","Good",S73="F","Poor",OR(S73="No Grade",S73="Invalid Score"),"No Remark")</f>
        <v>Distinction</v>
      </c>
    </row>
    <row r="74" spans="1:20" x14ac:dyDescent="0.2">
      <c r="A74" s="1" t="s">
        <v>242</v>
      </c>
      <c r="B74" s="7">
        <f t="shared" si="10"/>
        <v>45542.75105324074</v>
      </c>
      <c r="C74" s="8">
        <f t="shared" si="13"/>
        <v>45542.75105324074</v>
      </c>
      <c r="D74" s="9">
        <f t="shared" si="14"/>
        <v>0.75105324073956581</v>
      </c>
      <c r="E74" s="1" t="s">
        <v>233</v>
      </c>
      <c r="F74" s="1" t="s">
        <v>111</v>
      </c>
      <c r="G74" s="1" t="str">
        <f t="shared" si="15"/>
        <v>Lawal</v>
      </c>
      <c r="H74" s="1" t="s">
        <v>243</v>
      </c>
      <c r="I74" s="1" t="str">
        <f t="shared" si="16"/>
        <v>Afeez</v>
      </c>
      <c r="J74" s="1" t="str">
        <f t="shared" si="11"/>
        <v>Lawal Afeez</v>
      </c>
      <c r="K74" s="1" t="str">
        <f t="shared" si="12"/>
        <v>Unique</v>
      </c>
      <c r="L74" s="1" t="str">
        <f t="shared" si="17"/>
        <v>lawalafeez@3mtt.com</v>
      </c>
      <c r="M74" s="1" t="s">
        <v>21</v>
      </c>
      <c r="N74" s="1" t="str">
        <f t="shared" si="18"/>
        <v>Male</v>
      </c>
      <c r="O74" s="1">
        <v>10</v>
      </c>
      <c r="P74" s="1">
        <v>8</v>
      </c>
      <c r="Q74" s="1">
        <v>39</v>
      </c>
      <c r="R74" s="2" cm="1">
        <f t="array" ref="R74">IF(AND(ISNUMBER(O74:Q74),SUM(O74:Q74)&lt;100),SUM(O74:Q74),"No Score")</f>
        <v>57</v>
      </c>
      <c r="S74" t="str" cm="1">
        <f t="array" ref="S74">_xlfn.IFS(AND(R74 &gt;=91,R74 &lt;=100),"A+",AND(R74 &gt;=71,R74 &lt;=90),"A",AND(R74 &gt;=61,R74 &lt;=70),"B",AND(R74 &gt;=51,R74 &lt;=60),"C",AND(R74 &gt;=40,R74 &lt;=50),"D",R74 &lt;40,"F",R74="No Score","No Grade",OR(R74&gt;100,R74&lt;0),"Invalid score")</f>
        <v>C</v>
      </c>
      <c r="T74" t="str" cm="1">
        <f t="array" ref="T74">_xlfn.IFS(S74="A+","Distinction",S74="A","Excellent", S74="B","Credit",S74="C","Very Good", S74="D","Good",S74="F","Poor",OR(S74="No Grade",S74="Invalid Score"),"No Remark")</f>
        <v>Very Good</v>
      </c>
    </row>
    <row r="75" spans="1:20" x14ac:dyDescent="0.2">
      <c r="A75" s="1" t="s">
        <v>244</v>
      </c>
      <c r="B75" s="7">
        <f t="shared" si="10"/>
        <v>45542.752002314817</v>
      </c>
      <c r="C75" s="8">
        <f t="shared" si="13"/>
        <v>45542.752002314817</v>
      </c>
      <c r="D75" s="9">
        <f t="shared" si="14"/>
        <v>0.75200231481721858</v>
      </c>
      <c r="E75" s="1" t="s">
        <v>233</v>
      </c>
      <c r="F75" s="1" t="s">
        <v>245</v>
      </c>
      <c r="G75" s="1" t="str">
        <f t="shared" si="15"/>
        <v>Boy</v>
      </c>
      <c r="H75" s="1" t="s">
        <v>246</v>
      </c>
      <c r="I75" s="1" t="str">
        <f t="shared" si="16"/>
        <v>Village</v>
      </c>
      <c r="J75" s="1" t="str">
        <f t="shared" si="11"/>
        <v>Boy Village</v>
      </c>
      <c r="K75" s="1" t="str">
        <f t="shared" si="12"/>
        <v>Unique</v>
      </c>
      <c r="L75" s="1" t="str">
        <f t="shared" si="17"/>
        <v>boyvillage@3mtt.com</v>
      </c>
      <c r="M75" s="1" t="s">
        <v>21</v>
      </c>
      <c r="N75" s="1" t="str">
        <f t="shared" si="18"/>
        <v>Male</v>
      </c>
      <c r="O75" s="1">
        <v>18</v>
      </c>
      <c r="P75" s="1">
        <v>17</v>
      </c>
      <c r="Q75" s="1">
        <v>56</v>
      </c>
      <c r="R75" s="2" cm="1">
        <f t="array" ref="R75">IF(AND(ISNUMBER(O75:Q75),SUM(O75:Q75)&lt;100),SUM(O75:Q75),"No Score")</f>
        <v>91</v>
      </c>
      <c r="S75" t="str" cm="1">
        <f t="array" ref="S75">_xlfn.IFS(AND(R75 &gt;=91,R75 &lt;=100),"A+",AND(R75 &gt;=71,R75 &lt;=90),"A",AND(R75 &gt;=61,R75 &lt;=70),"B",AND(R75 &gt;=51,R75 &lt;=60),"C",AND(R75 &gt;=40,R75 &lt;=50),"D",R75 &lt;40,"F",R75="No Score","No Grade",OR(R75&gt;100,R75&lt;0),"Invalid score")</f>
        <v>A+</v>
      </c>
      <c r="T75" t="str" cm="1">
        <f t="array" ref="T75">_xlfn.IFS(S75="A+","Distinction",S75="A","Excellent", S75="B","Credit",S75="C","Very Good", S75="D","Good",S75="F","Poor",OR(S75="No Grade",S75="Invalid Score"),"No Remark")</f>
        <v>Distinction</v>
      </c>
    </row>
    <row r="76" spans="1:20" x14ac:dyDescent="0.2">
      <c r="A76" s="1" t="s">
        <v>252</v>
      </c>
      <c r="B76" s="7">
        <f t="shared" si="10"/>
        <v>45542.769375000003</v>
      </c>
      <c r="C76" s="16">
        <f t="shared" si="13"/>
        <v>45542.769375000003</v>
      </c>
      <c r="D76" s="17">
        <f t="shared" si="14"/>
        <v>0.76937500000349246</v>
      </c>
      <c r="E76" s="18" t="s">
        <v>248</v>
      </c>
      <c r="F76" s="18" t="s">
        <v>249</v>
      </c>
      <c r="G76" s="18" t="str">
        <f t="shared" si="15"/>
        <v>Abubakar</v>
      </c>
      <c r="H76" s="18" t="s">
        <v>250</v>
      </c>
      <c r="I76" s="18" t="str">
        <f t="shared" si="16"/>
        <v>Muhammad Dokochi</v>
      </c>
      <c r="J76" s="18" t="str">
        <f t="shared" si="11"/>
        <v>Abubakar Muhammad Dokochi</v>
      </c>
      <c r="K76" s="18" t="str">
        <f t="shared" si="12"/>
        <v>Unique</v>
      </c>
      <c r="L76" s="18" t="str">
        <f t="shared" si="17"/>
        <v>abubakarmuhammad dokochi@3mtt.com</v>
      </c>
      <c r="M76" s="18" t="s">
        <v>35</v>
      </c>
      <c r="N76" s="1" t="str">
        <f t="shared" si="18"/>
        <v>Male</v>
      </c>
      <c r="O76" s="18">
        <v>16</v>
      </c>
      <c r="P76" s="18">
        <v>18</v>
      </c>
      <c r="Q76" s="18">
        <v>0</v>
      </c>
      <c r="R76" s="2" cm="1">
        <f t="array" ref="R76">IF(AND(ISNUMBER(O76:Q76),SUM(O76:Q76)&lt;100),SUM(O76:Q76),"No Score")</f>
        <v>34</v>
      </c>
      <c r="S76" s="19" t="str" cm="1">
        <f t="array" ref="S76">_xlfn.IFS(AND(R76 &gt;=91,R76 &lt;=100),"A+",AND(R76 &gt;=71,R76 &lt;=90),"A",AND(R76 &gt;=61,R76 &lt;=70),"B",AND(R76 &gt;=51,R76 &lt;=60),"C",AND(R76 &gt;=40,R76 &lt;=50),"D",R76 &lt;40,"F",R76="No Score","No Grade",OR(R76&gt;100,R76&lt;0),"Invalid score")</f>
        <v>F</v>
      </c>
      <c r="T76" s="19" t="str" cm="1">
        <f t="array" ref="T76">_xlfn.IFS(S76="A+","Distinction",S76="A","Excellent", S76="B","Credit",S76="C","Very Good", S76="D","Good",S76="F","Poor",OR(S76="No Grade",S76="Invalid Score"),"No Remark")</f>
        <v>Poor</v>
      </c>
    </row>
    <row r="77" spans="1:20" x14ac:dyDescent="0.2">
      <c r="A77" s="1" t="s">
        <v>253</v>
      </c>
      <c r="B77" s="7">
        <f t="shared" si="10"/>
        <v>45542.824826388889</v>
      </c>
      <c r="C77" s="8">
        <f t="shared" si="13"/>
        <v>45542.824826388889</v>
      </c>
      <c r="D77" s="9">
        <f t="shared" si="14"/>
        <v>0.82482638888905058</v>
      </c>
      <c r="E77" s="1" t="s">
        <v>254</v>
      </c>
      <c r="F77" s="1" t="s">
        <v>255</v>
      </c>
      <c r="G77" s="1" t="str">
        <f t="shared" si="15"/>
        <v>Somadina</v>
      </c>
      <c r="H77" s="1" t="s">
        <v>256</v>
      </c>
      <c r="I77" s="1" t="str">
        <f t="shared" si="16"/>
        <v>Ebube</v>
      </c>
      <c r="J77" s="1" t="str">
        <f t="shared" si="11"/>
        <v>Somadina Ebube</v>
      </c>
      <c r="K77" s="1" t="str">
        <f t="shared" si="12"/>
        <v>Duplicate</v>
      </c>
      <c r="L77" s="1" t="str">
        <f t="shared" si="17"/>
        <v>somadinaebube@3mtt.com</v>
      </c>
      <c r="M77" s="1" t="s">
        <v>53</v>
      </c>
      <c r="N77" s="1" t="str">
        <f t="shared" si="18"/>
        <v xml:space="preserve">Male </v>
      </c>
      <c r="O77" s="1">
        <v>18</v>
      </c>
      <c r="P77" s="1">
        <v>20</v>
      </c>
      <c r="Q77" s="1">
        <v>45</v>
      </c>
      <c r="R77" s="2" cm="1">
        <f t="array" ref="R77">IF(AND(ISNUMBER(O77:Q77),SUM(O77:Q77)&lt;100),SUM(O77:Q77),"No Score")</f>
        <v>83</v>
      </c>
      <c r="S77" t="str" cm="1">
        <f t="array" ref="S77">_xlfn.IFS(AND(R77 &gt;=91,R77 &lt;=100),"A+",AND(R77 &gt;=71,R77 &lt;=90),"A",AND(R77 &gt;=61,R77 &lt;=70),"B",AND(R77 &gt;=51,R77 &lt;=60),"C",AND(R77 &gt;=40,R77 &lt;=50),"D",R77 &lt;40,"F",R77="No Score","No Grade",OR(R77&gt;100,R77&lt;0),"Invalid score")</f>
        <v>A</v>
      </c>
      <c r="T77" t="str" cm="1">
        <f t="array" ref="T77">_xlfn.IFS(S77="A+","Distinction",S77="A","Excellent", S77="B","Credit",S77="C","Very Good", S77="D","Good",S77="F","Poor",OR(S77="No Grade",S77="Invalid Score"),"No Remark")</f>
        <v>Excellent</v>
      </c>
    </row>
    <row r="78" spans="1:20" x14ac:dyDescent="0.2">
      <c r="A78" s="1" t="s">
        <v>257</v>
      </c>
      <c r="B78" s="7">
        <f t="shared" si="10"/>
        <v>45542.824884259258</v>
      </c>
      <c r="C78" s="8">
        <f t="shared" si="13"/>
        <v>45542.824884259258</v>
      </c>
      <c r="D78" s="9">
        <f t="shared" si="14"/>
        <v>0.82488425925839692</v>
      </c>
      <c r="E78" s="1" t="s">
        <v>258</v>
      </c>
      <c r="F78" s="1" t="s">
        <v>259</v>
      </c>
      <c r="G78" s="1" t="str">
        <f t="shared" si="15"/>
        <v>Anne</v>
      </c>
      <c r="H78" s="1" t="s">
        <v>260</v>
      </c>
      <c r="I78" s="1" t="str">
        <f t="shared" si="16"/>
        <v>Orezi</v>
      </c>
      <c r="J78" s="1" t="str">
        <f t="shared" si="11"/>
        <v>Anne Orezi</v>
      </c>
      <c r="K78" s="1" t="str">
        <f t="shared" si="12"/>
        <v>Duplicate</v>
      </c>
      <c r="L78" s="1" t="str">
        <f t="shared" si="17"/>
        <v>anneorezi@3mtt.com</v>
      </c>
      <c r="M78" s="1" t="s">
        <v>12</v>
      </c>
      <c r="N78" s="1" t="str">
        <f t="shared" si="18"/>
        <v>Female</v>
      </c>
      <c r="O78" s="1">
        <v>18</v>
      </c>
      <c r="P78" s="1">
        <v>20</v>
      </c>
      <c r="Q78" s="1">
        <v>55</v>
      </c>
      <c r="R78" s="2" cm="1">
        <f t="array" ref="R78">IF(AND(ISNUMBER(O78:Q78),SUM(O78:Q78)&lt;100),SUM(O78:Q78),"No Score")</f>
        <v>93</v>
      </c>
      <c r="S78" t="str" cm="1">
        <f t="array" ref="S78">_xlfn.IFS(AND(R78 &gt;=91,R78 &lt;=100),"A+",AND(R78 &gt;=71,R78 &lt;=90),"A",AND(R78 &gt;=61,R78 &lt;=70),"B",AND(R78 &gt;=51,R78 &lt;=60),"C",AND(R78 &gt;=40,R78 &lt;=50),"D",R78 &lt;40,"F",R78="No Score","No Grade",OR(R78&gt;100,R78&lt;0),"Invalid score")</f>
        <v>A+</v>
      </c>
      <c r="T78" t="str" cm="1">
        <f t="array" ref="T78">_xlfn.IFS(S78="A+","Distinction",S78="A","Excellent", S78="B","Credit",S78="C","Very Good", S78="D","Good",S78="F","Poor",OR(S78="No Grade",S78="Invalid Score"),"No Remark")</f>
        <v>Distinction</v>
      </c>
    </row>
    <row r="79" spans="1:20" x14ac:dyDescent="0.2">
      <c r="A79" s="1" t="s">
        <v>261</v>
      </c>
      <c r="B79" s="7">
        <f t="shared" si="10"/>
        <v>45542.825509259259</v>
      </c>
      <c r="C79" s="8">
        <f t="shared" si="13"/>
        <v>45542.825509259259</v>
      </c>
      <c r="D79" s="9">
        <f t="shared" si="14"/>
        <v>0.825509259258979</v>
      </c>
      <c r="E79" s="1" t="s">
        <v>254</v>
      </c>
      <c r="F79" s="1" t="s">
        <v>262</v>
      </c>
      <c r="G79" s="1" t="str">
        <f t="shared" si="15"/>
        <v>Somadina</v>
      </c>
      <c r="H79" s="1" t="s">
        <v>256</v>
      </c>
      <c r="I79" s="1" t="str">
        <f t="shared" si="16"/>
        <v>Ebube</v>
      </c>
      <c r="J79" s="1" t="str">
        <f t="shared" si="11"/>
        <v>Somadina Ebube</v>
      </c>
      <c r="K79" s="1" t="str">
        <f t="shared" si="12"/>
        <v>Duplicate</v>
      </c>
      <c r="L79" s="1" t="str">
        <f t="shared" si="17"/>
        <v>somadinaebube@3mtt.com</v>
      </c>
      <c r="M79" s="1" t="s">
        <v>21</v>
      </c>
      <c r="N79" s="1" t="str">
        <f t="shared" si="18"/>
        <v>Male</v>
      </c>
      <c r="O79" s="1">
        <v>18</v>
      </c>
      <c r="P79" s="1">
        <v>20</v>
      </c>
      <c r="Q79" s="1">
        <v>45</v>
      </c>
      <c r="R79" s="2" cm="1">
        <f t="array" ref="R79">IF(AND(ISNUMBER(O79:Q79),SUM(O79:Q79)&lt;100),SUM(O79:Q79),"No Score")</f>
        <v>83</v>
      </c>
      <c r="S79" t="str" cm="1">
        <f t="array" ref="S79">_xlfn.IFS(AND(R79 &gt;=91,R79 &lt;=100),"A+",AND(R79 &gt;=71,R79 &lt;=90),"A",AND(R79 &gt;=61,R79 &lt;=70),"B",AND(R79 &gt;=51,R79 &lt;=60),"C",AND(R79 &gt;=40,R79 &lt;=50),"D",R79 &lt;40,"F",R79="No Score","No Grade",OR(R79&gt;100,R79&lt;0),"Invalid score")</f>
        <v>A</v>
      </c>
      <c r="T79" t="str" cm="1">
        <f t="array" ref="T79">_xlfn.IFS(S79="A+","Distinction",S79="A","Excellent", S79="B","Credit",S79="C","Very Good", S79="D","Good",S79="F","Poor",OR(S79="No Grade",S79="Invalid Score"),"No Remark")</f>
        <v>Excellent</v>
      </c>
    </row>
    <row r="80" spans="1:20" x14ac:dyDescent="0.2">
      <c r="A80" s="1" t="s">
        <v>263</v>
      </c>
      <c r="B80" s="7">
        <f t="shared" si="10"/>
        <v>45542.825590277775</v>
      </c>
      <c r="C80" s="8">
        <f t="shared" si="13"/>
        <v>45542.825590277775</v>
      </c>
      <c r="D80" s="9">
        <f t="shared" si="14"/>
        <v>0.82559027777460869</v>
      </c>
      <c r="E80" s="1" t="s">
        <v>258</v>
      </c>
      <c r="F80" s="1" t="s">
        <v>264</v>
      </c>
      <c r="G80" s="1" t="str">
        <f t="shared" si="15"/>
        <v>Gerald</v>
      </c>
      <c r="H80" s="1" t="s">
        <v>265</v>
      </c>
      <c r="I80" s="1" t="str">
        <f t="shared" si="16"/>
        <v>Peter</v>
      </c>
      <c r="J80" s="1" t="str">
        <f t="shared" si="11"/>
        <v>Gerald Peter</v>
      </c>
      <c r="K80" s="1" t="str">
        <f t="shared" si="12"/>
        <v>Unique</v>
      </c>
      <c r="L80" s="1" t="str">
        <f t="shared" si="17"/>
        <v>geraldpeter@3mtt.com</v>
      </c>
      <c r="M80" s="1" t="s">
        <v>21</v>
      </c>
      <c r="N80" s="1" t="str">
        <f t="shared" si="18"/>
        <v>Male</v>
      </c>
      <c r="O80" s="1">
        <v>12</v>
      </c>
      <c r="P80" s="1">
        <v>17</v>
      </c>
      <c r="Q80" s="1">
        <v>47</v>
      </c>
      <c r="R80" s="2" cm="1">
        <f t="array" ref="R80">IF(AND(ISNUMBER(O80:Q80),SUM(O80:Q80)&lt;100),SUM(O80:Q80),"No Score")</f>
        <v>76</v>
      </c>
      <c r="S80" t="str" cm="1">
        <f t="array" ref="S80">_xlfn.IFS(AND(R80 &gt;=91,R80 &lt;=100),"A+",AND(R80 &gt;=71,R80 &lt;=90),"A",AND(R80 &gt;=61,R80 &lt;=70),"B",AND(R80 &gt;=51,R80 &lt;=60),"C",AND(R80 &gt;=40,R80 &lt;=50),"D",R80 &lt;40,"F",R80="No Score","No Grade",OR(R80&gt;100,R80&lt;0),"Invalid score")</f>
        <v>A</v>
      </c>
      <c r="T80" t="str" cm="1">
        <f t="array" ref="T80">_xlfn.IFS(S80="A+","Distinction",S80="A","Excellent", S80="B","Credit",S80="C","Very Good", S80="D","Good",S80="F","Poor",OR(S80="No Grade",S80="Invalid Score"),"No Remark")</f>
        <v>Excellent</v>
      </c>
    </row>
    <row r="81" spans="1:20" x14ac:dyDescent="0.2">
      <c r="A81" s="1" t="s">
        <v>266</v>
      </c>
      <c r="B81" s="7">
        <f t="shared" si="10"/>
        <v>45542.82608796296</v>
      </c>
      <c r="C81" s="8">
        <f t="shared" si="13"/>
        <v>45542.82608796296</v>
      </c>
      <c r="D81" s="9">
        <f t="shared" si="14"/>
        <v>0.82608796295971842</v>
      </c>
      <c r="E81" s="1" t="s">
        <v>254</v>
      </c>
      <c r="F81" s="1" t="s">
        <v>267</v>
      </c>
      <c r="G81" s="1" t="str">
        <f t="shared" si="15"/>
        <v>Myles</v>
      </c>
      <c r="H81" s="1" t="s">
        <v>268</v>
      </c>
      <c r="I81" s="1" t="str">
        <f t="shared" si="16"/>
        <v>Jermaine</v>
      </c>
      <c r="J81" s="1" t="str">
        <f t="shared" si="11"/>
        <v>Myles Jermaine</v>
      </c>
      <c r="K81" s="1" t="str">
        <f t="shared" si="12"/>
        <v>Unique</v>
      </c>
      <c r="L81" s="1" t="str">
        <f t="shared" si="17"/>
        <v>mylesjermaine@3mtt.com</v>
      </c>
      <c r="M81" s="1" t="s">
        <v>21</v>
      </c>
      <c r="N81" s="1" t="str">
        <f t="shared" si="18"/>
        <v>Male</v>
      </c>
      <c r="O81" s="1">
        <v>20</v>
      </c>
      <c r="P81" s="1">
        <v>20</v>
      </c>
      <c r="Q81" s="1">
        <v>55</v>
      </c>
      <c r="R81" s="2" cm="1">
        <f t="array" ref="R81">IF(AND(ISNUMBER(O81:Q81),SUM(O81:Q81)&lt;100),SUM(O81:Q81),"No Score")</f>
        <v>95</v>
      </c>
      <c r="S81" t="str" cm="1">
        <f t="array" ref="S81">_xlfn.IFS(AND(R81 &gt;=91,R81 &lt;=100),"A+",AND(R81 &gt;=71,R81 &lt;=90),"A",AND(R81 &gt;=61,R81 &lt;=70),"B",AND(R81 &gt;=51,R81 &lt;=60),"C",AND(R81 &gt;=40,R81 &lt;=50),"D",R81 &lt;40,"F",R81="No Score","No Grade",OR(R81&gt;100,R81&lt;0),"Invalid score")</f>
        <v>A+</v>
      </c>
      <c r="T81" t="str" cm="1">
        <f t="array" ref="T81">_xlfn.IFS(S81="A+","Distinction",S81="A","Excellent", S81="B","Credit",S81="C","Very Good", S81="D","Good",S81="F","Poor",OR(S81="No Grade",S81="Invalid Score"),"No Remark")</f>
        <v>Distinction</v>
      </c>
    </row>
    <row r="82" spans="1:20" x14ac:dyDescent="0.2">
      <c r="A82" s="1" t="s">
        <v>269</v>
      </c>
      <c r="B82" s="7">
        <f t="shared" si="10"/>
        <v>45542.82613425926</v>
      </c>
      <c r="C82" s="8">
        <f t="shared" si="13"/>
        <v>45542.82613425926</v>
      </c>
      <c r="D82" s="9">
        <f t="shared" si="14"/>
        <v>0.82613425925956108</v>
      </c>
      <c r="E82" s="1" t="s">
        <v>258</v>
      </c>
      <c r="F82" s="1" t="s">
        <v>270</v>
      </c>
      <c r="G82" s="1" t="str">
        <f t="shared" si="15"/>
        <v>Excel</v>
      </c>
      <c r="H82" s="1" t="s">
        <v>271</v>
      </c>
      <c r="I82" s="1" t="str">
        <f t="shared" si="16"/>
        <v>Kobiruo</v>
      </c>
      <c r="J82" s="1" t="str">
        <f t="shared" si="11"/>
        <v>Excel Kobiruo</v>
      </c>
      <c r="K82" s="1" t="str">
        <f t="shared" si="12"/>
        <v>Unique</v>
      </c>
      <c r="L82" s="1" t="str">
        <f t="shared" si="17"/>
        <v>excelkobiruo@3mtt.com</v>
      </c>
      <c r="M82" s="1" t="s">
        <v>21</v>
      </c>
      <c r="N82" s="1" t="str">
        <f t="shared" si="18"/>
        <v>Male</v>
      </c>
      <c r="O82" s="1">
        <v>20</v>
      </c>
      <c r="P82" s="1">
        <v>20</v>
      </c>
      <c r="Q82" s="1">
        <v>58</v>
      </c>
      <c r="R82" s="2" cm="1">
        <f t="array" ref="R82">IF(AND(ISNUMBER(O82:Q82),SUM(O82:Q82)&lt;100),SUM(O82:Q82),"No Score")</f>
        <v>98</v>
      </c>
      <c r="S82" t="str" cm="1">
        <f t="array" ref="S82">_xlfn.IFS(AND(R82 &gt;=91,R82 &lt;=100),"A+",AND(R82 &gt;=71,R82 &lt;=90),"A",AND(R82 &gt;=61,R82 &lt;=70),"B",AND(R82 &gt;=51,R82 &lt;=60),"C",AND(R82 &gt;=40,R82 &lt;=50),"D",R82 &lt;40,"F",R82="No Score","No Grade",OR(R82&gt;100,R82&lt;0),"Invalid score")</f>
        <v>A+</v>
      </c>
      <c r="T82" t="str" cm="1">
        <f t="array" ref="T82">_xlfn.IFS(S82="A+","Distinction",S82="A","Excellent", S82="B","Credit",S82="C","Very Good", S82="D","Good",S82="F","Poor",OR(S82="No Grade",S82="Invalid Score"),"No Remark")</f>
        <v>Distinction</v>
      </c>
    </row>
    <row r="83" spans="1:20" x14ac:dyDescent="0.2">
      <c r="A83" s="3" t="s">
        <v>272</v>
      </c>
      <c r="B83" s="7">
        <f t="shared" si="10"/>
        <v>45542.826597222222</v>
      </c>
      <c r="C83" s="10">
        <f t="shared" si="13"/>
        <v>45542.826597222222</v>
      </c>
      <c r="D83" s="11">
        <f t="shared" si="14"/>
        <v>0.82659722222160781</v>
      </c>
      <c r="E83" s="3" t="s">
        <v>258</v>
      </c>
      <c r="F83" s="3" t="s">
        <v>273</v>
      </c>
      <c r="G83" s="1" t="str">
        <f t="shared" si="15"/>
        <v>Aisha</v>
      </c>
      <c r="H83" s="3" t="s">
        <v>107</v>
      </c>
      <c r="I83" s="1" t="str">
        <f t="shared" si="16"/>
        <v>Musa</v>
      </c>
      <c r="J83" s="3" t="str">
        <f t="shared" si="11"/>
        <v>Aisha Musa</v>
      </c>
      <c r="K83" s="3" t="str">
        <f t="shared" si="12"/>
        <v>Duplicate</v>
      </c>
      <c r="L83" s="3" t="str">
        <f t="shared" si="17"/>
        <v>aishamusa@3mtt.com</v>
      </c>
      <c r="M83" s="1" t="s">
        <v>12</v>
      </c>
      <c r="N83" s="1" t="str">
        <f t="shared" si="18"/>
        <v>Female</v>
      </c>
      <c r="O83" s="3">
        <v>14</v>
      </c>
      <c r="P83" s="3">
        <v>16</v>
      </c>
      <c r="Q83" s="3">
        <v>50</v>
      </c>
      <c r="R83" s="2" cm="1">
        <f t="array" ref="R83">IF(AND(ISNUMBER(O83:Q83),SUM(O83:Q83)&lt;100),SUM(O83:Q83),"No Score")</f>
        <v>80</v>
      </c>
      <c r="S83" s="4" t="str" cm="1">
        <f t="array" ref="S83">_xlfn.IFS(AND(R83 &gt;=91,R83 &lt;=100),"A+",AND(R83 &gt;=71,R83 &lt;=90),"A",AND(R83 &gt;=61,R83 &lt;=70),"B",AND(R83 &gt;=51,R83 &lt;=60),"C",AND(R83 &gt;=40,R83 &lt;=50),"D",R83 &lt;40,"F",R83="No Score","No Grade",OR(R83&gt;100,R83&lt;0),"Invalid score")</f>
        <v>A</v>
      </c>
      <c r="T83" s="4" t="str" cm="1">
        <f t="array" ref="T83">_xlfn.IFS(S83="A+","Distinction",S83="A","Excellent", S83="B","Credit",S83="C","Very Good", S83="D","Good",S83="F","Poor",OR(S83="No Grade",S83="Invalid Score"),"No Remark")</f>
        <v>Excellent</v>
      </c>
    </row>
    <row r="84" spans="1:20" x14ac:dyDescent="0.2">
      <c r="A84" s="1" t="s">
        <v>274</v>
      </c>
      <c r="B84" s="7">
        <f t="shared" si="10"/>
        <v>45542.826979166668</v>
      </c>
      <c r="C84" s="8">
        <f t="shared" si="13"/>
        <v>45542.826979166668</v>
      </c>
      <c r="D84" s="9">
        <f t="shared" si="14"/>
        <v>0.82697916666802485</v>
      </c>
      <c r="E84" s="1" t="s">
        <v>258</v>
      </c>
      <c r="F84" s="1" t="s">
        <v>275</v>
      </c>
      <c r="G84" s="1" t="str">
        <f t="shared" si="15"/>
        <v>Ngozi</v>
      </c>
      <c r="H84" s="1" t="s">
        <v>276</v>
      </c>
      <c r="I84" s="1" t="str">
        <f t="shared" si="16"/>
        <v>Eze</v>
      </c>
      <c r="J84" s="1" t="str">
        <f t="shared" si="11"/>
        <v>Ngozi Eze</v>
      </c>
      <c r="K84" s="1" t="str">
        <f t="shared" si="12"/>
        <v>Unique</v>
      </c>
      <c r="L84" s="1" t="str">
        <f t="shared" si="17"/>
        <v>ngozieze@3mtt.com</v>
      </c>
      <c r="M84" s="1" t="s">
        <v>12</v>
      </c>
      <c r="N84" s="1" t="str">
        <f t="shared" si="18"/>
        <v>Female</v>
      </c>
      <c r="O84" s="1">
        <v>15</v>
      </c>
      <c r="P84" s="1">
        <v>10</v>
      </c>
      <c r="Q84" s="1">
        <v>39</v>
      </c>
      <c r="R84" s="2" cm="1">
        <f t="array" ref="R84">IF(AND(ISNUMBER(O84:Q84),SUM(O84:Q84)&lt;100),SUM(O84:Q84),"No Score")</f>
        <v>64</v>
      </c>
      <c r="S84" t="str" cm="1">
        <f t="array" ref="S84">_xlfn.IFS(AND(R84 &gt;=91,R84 &lt;=100),"A+",AND(R84 &gt;=71,R84 &lt;=90),"A",AND(R84 &gt;=61,R84 &lt;=70),"B",AND(R84 &gt;=51,R84 &lt;=60),"C",AND(R84 &gt;=40,R84 &lt;=50),"D",R84 &lt;40,"F",R84="No Score","No Grade",OR(R84&gt;100,R84&lt;0),"Invalid score")</f>
        <v>B</v>
      </c>
      <c r="T84" t="str" cm="1">
        <f t="array" ref="T84">_xlfn.IFS(S84="A+","Distinction",S84="A","Excellent", S84="B","Credit",S84="C","Very Good", S84="D","Good",S84="F","Poor",OR(S84="No Grade",S84="Invalid Score"),"No Remark")</f>
        <v>Credit</v>
      </c>
    </row>
    <row r="85" spans="1:20" x14ac:dyDescent="0.2">
      <c r="A85" s="1" t="s">
        <v>277</v>
      </c>
      <c r="B85" s="7">
        <f t="shared" si="10"/>
        <v>45542.826990740738</v>
      </c>
      <c r="C85" s="8">
        <f t="shared" si="13"/>
        <v>45542.826990740738</v>
      </c>
      <c r="D85" s="9">
        <f t="shared" si="14"/>
        <v>0.82699074073752854</v>
      </c>
      <c r="E85" s="1" t="s">
        <v>254</v>
      </c>
      <c r="F85" s="1" t="s">
        <v>278</v>
      </c>
      <c r="G85" s="1" t="str">
        <f t="shared" si="15"/>
        <v>Bassey</v>
      </c>
      <c r="H85" s="1" t="s">
        <v>279</v>
      </c>
      <c r="I85" s="1" t="str">
        <f t="shared" si="16"/>
        <v>Koko</v>
      </c>
      <c r="J85" s="1" t="str">
        <f t="shared" si="11"/>
        <v>Bassey Koko</v>
      </c>
      <c r="K85" s="1" t="str">
        <f t="shared" si="12"/>
        <v>Unique</v>
      </c>
      <c r="L85" s="1" t="str">
        <f t="shared" si="17"/>
        <v>basseykoko@3mtt.com</v>
      </c>
      <c r="M85" s="1" t="s">
        <v>12</v>
      </c>
      <c r="N85" s="1" t="str">
        <f t="shared" si="18"/>
        <v>Female</v>
      </c>
      <c r="O85" s="1">
        <v>15</v>
      </c>
      <c r="P85" s="1">
        <v>17</v>
      </c>
      <c r="Q85" s="1">
        <v>60</v>
      </c>
      <c r="R85" s="2" cm="1">
        <f t="array" ref="R85">IF(AND(ISNUMBER(O85:Q85),SUM(O85:Q85)&lt;100),SUM(O85:Q85),"No Score")</f>
        <v>92</v>
      </c>
      <c r="S85" t="str" cm="1">
        <f t="array" ref="S85">_xlfn.IFS(AND(R85 &gt;=91,R85 &lt;=100),"A+",AND(R85 &gt;=71,R85 &lt;=90),"A",AND(R85 &gt;=61,R85 &lt;=70),"B",AND(R85 &gt;=51,R85 &lt;=60),"C",AND(R85 &gt;=40,R85 &lt;=50),"D",R85 &lt;40,"F",R85="No Score","No Grade",OR(R85&gt;100,R85&lt;0),"Invalid score")</f>
        <v>A+</v>
      </c>
      <c r="T85" t="str" cm="1">
        <f t="array" ref="T85">_xlfn.IFS(S85="A+","Distinction",S85="A","Excellent", S85="B","Credit",S85="C","Very Good", S85="D","Good",S85="F","Poor",OR(S85="No Grade",S85="Invalid Score"),"No Remark")</f>
        <v>Distinction</v>
      </c>
    </row>
    <row r="86" spans="1:20" x14ac:dyDescent="0.2">
      <c r="A86" s="1" t="s">
        <v>280</v>
      </c>
      <c r="B86" s="7">
        <f t="shared" si="10"/>
        <v>45542.831331018519</v>
      </c>
      <c r="C86" s="8">
        <f t="shared" si="13"/>
        <v>45542.831331018519</v>
      </c>
      <c r="D86" s="9">
        <f t="shared" si="14"/>
        <v>0.83133101851854008</v>
      </c>
      <c r="E86" s="1" t="s">
        <v>281</v>
      </c>
      <c r="F86" s="1" t="s">
        <v>282</v>
      </c>
      <c r="G86" s="1" t="str">
        <f t="shared" si="15"/>
        <v>Damilola</v>
      </c>
      <c r="H86" s="1" t="s">
        <v>283</v>
      </c>
      <c r="I86" s="1" t="str">
        <f t="shared" si="16"/>
        <v>Emmanuel</v>
      </c>
      <c r="J86" s="1" t="str">
        <f t="shared" si="11"/>
        <v>Damilola Emmanuel</v>
      </c>
      <c r="K86" s="1" t="str">
        <f t="shared" si="12"/>
        <v>Unique</v>
      </c>
      <c r="L86" s="1" t="str">
        <f t="shared" si="17"/>
        <v>damilolaemmanuel@3mtt.com</v>
      </c>
      <c r="M86" s="1" t="s">
        <v>12</v>
      </c>
      <c r="N86" s="1" t="str">
        <f t="shared" si="18"/>
        <v>Female</v>
      </c>
      <c r="O86" s="1">
        <v>18</v>
      </c>
      <c r="P86" s="1">
        <v>15</v>
      </c>
      <c r="Q86" s="1">
        <v>59</v>
      </c>
      <c r="R86" s="2" cm="1">
        <f t="array" ref="R86">IF(AND(ISNUMBER(O86:Q86),SUM(O86:Q86)&lt;100),SUM(O86:Q86),"No Score")</f>
        <v>92</v>
      </c>
      <c r="S86" t="str" cm="1">
        <f t="array" ref="S86">_xlfn.IFS(AND(R86 &gt;=91,R86 &lt;=100),"A+",AND(R86 &gt;=71,R86 &lt;=90),"A",AND(R86 &gt;=61,R86 &lt;=70),"B",AND(R86 &gt;=51,R86 &lt;=60),"C",AND(R86 &gt;=40,R86 &lt;=50),"D",R86 &lt;40,"F",R86="No Score","No Grade",OR(R86&gt;100,R86&lt;0),"Invalid score")</f>
        <v>A+</v>
      </c>
      <c r="T86" t="str" cm="1">
        <f t="array" ref="T86">_xlfn.IFS(S86="A+","Distinction",S86="A","Excellent", S86="B","Credit",S86="C","Very Good", S86="D","Good",S86="F","Poor",OR(S86="No Grade",S86="Invalid Score"),"No Remark")</f>
        <v>Distinction</v>
      </c>
    </row>
    <row r="87" spans="1:20" x14ac:dyDescent="0.2">
      <c r="A87" s="1" t="s">
        <v>284</v>
      </c>
      <c r="B87" s="7">
        <f t="shared" si="10"/>
        <v>45542.83153935185</v>
      </c>
      <c r="C87" s="8">
        <f t="shared" si="13"/>
        <v>45542.83153935185</v>
      </c>
      <c r="D87" s="9">
        <f t="shared" si="14"/>
        <v>0.83153935184964212</v>
      </c>
      <c r="E87" s="1" t="s">
        <v>254</v>
      </c>
      <c r="F87" s="1" t="s">
        <v>171</v>
      </c>
      <c r="G87" s="1" t="str">
        <f t="shared" si="15"/>
        <v>Mercy</v>
      </c>
      <c r="H87" s="1" t="s">
        <v>285</v>
      </c>
      <c r="I87" s="1" t="str">
        <f t="shared" si="16"/>
        <v>Ibe</v>
      </c>
      <c r="J87" s="1" t="str">
        <f t="shared" si="11"/>
        <v>Mercy Ibe</v>
      </c>
      <c r="K87" s="1" t="str">
        <f t="shared" si="12"/>
        <v>Unique</v>
      </c>
      <c r="L87" s="1" t="str">
        <f t="shared" si="17"/>
        <v>mercyibe@3mtt.com</v>
      </c>
      <c r="M87" s="1" t="s">
        <v>12</v>
      </c>
      <c r="N87" s="1" t="str">
        <f t="shared" si="18"/>
        <v>Female</v>
      </c>
      <c r="O87" s="1">
        <v>13</v>
      </c>
      <c r="P87" s="1">
        <v>10</v>
      </c>
      <c r="Q87" s="1">
        <v>35</v>
      </c>
      <c r="R87" s="2" cm="1">
        <f t="array" ref="R87">IF(AND(ISNUMBER(O87:Q87),SUM(O87:Q87)&lt;100),SUM(O87:Q87),"No Score")</f>
        <v>58</v>
      </c>
      <c r="S87" t="str" cm="1">
        <f t="array" ref="S87">_xlfn.IFS(AND(R87 &gt;=91,R87 &lt;=100),"A+",AND(R87 &gt;=71,R87 &lt;=90),"A",AND(R87 &gt;=61,R87 &lt;=70),"B",AND(R87 &gt;=51,R87 &lt;=60),"C",AND(R87 &gt;=40,R87 &lt;=50),"D",R87 &lt;40,"F",R87="No Score","No Grade",OR(R87&gt;100,R87&lt;0),"Invalid score")</f>
        <v>C</v>
      </c>
      <c r="T87" t="str" cm="1">
        <f t="array" ref="T87">_xlfn.IFS(S87="A+","Distinction",S87="A","Excellent", S87="B","Credit",S87="C","Very Good", S87="D","Good",S87="F","Poor",OR(S87="No Grade",S87="Invalid Score"),"No Remark")</f>
        <v>Very Good</v>
      </c>
    </row>
    <row r="88" spans="1:20" x14ac:dyDescent="0.2">
      <c r="A88" s="1" t="s">
        <v>286</v>
      </c>
      <c r="B88" s="7">
        <f t="shared" si="10"/>
        <v>45542.832106481481</v>
      </c>
      <c r="C88" s="8">
        <f t="shared" si="13"/>
        <v>45542.832106481481</v>
      </c>
      <c r="D88" s="9">
        <f t="shared" si="14"/>
        <v>0.83210648148087785</v>
      </c>
      <c r="E88" s="1" t="s">
        <v>254</v>
      </c>
      <c r="F88" s="1" t="s">
        <v>287</v>
      </c>
      <c r="G88" s="1" t="str">
        <f t="shared" si="15"/>
        <v>Poshia</v>
      </c>
      <c r="H88" s="1" t="s">
        <v>288</v>
      </c>
      <c r="I88" s="1" t="str">
        <f t="shared" si="16"/>
        <v>Samuel</v>
      </c>
      <c r="J88" s="1" t="str">
        <f t="shared" si="11"/>
        <v>Poshia Samuel</v>
      </c>
      <c r="K88" s="1" t="str">
        <f t="shared" si="12"/>
        <v>Unique</v>
      </c>
      <c r="L88" s="1" t="str">
        <f t="shared" si="17"/>
        <v>poshiasamuel@3mtt.com</v>
      </c>
      <c r="M88" s="1" t="s">
        <v>17</v>
      </c>
      <c r="N88" s="1" t="str">
        <f t="shared" si="18"/>
        <v xml:space="preserve">Female </v>
      </c>
      <c r="O88" s="1">
        <v>10</v>
      </c>
      <c r="P88" s="1">
        <v>15</v>
      </c>
      <c r="Q88" s="1">
        <v>60</v>
      </c>
      <c r="R88" s="2" cm="1">
        <f t="array" ref="R88">IF(AND(ISNUMBER(O88:Q88),SUM(O88:Q88)&lt;100),SUM(O88:Q88),"No Score")</f>
        <v>85</v>
      </c>
      <c r="S88" t="str" cm="1">
        <f t="array" ref="S88">_xlfn.IFS(AND(R88 &gt;=91,R88 &lt;=100),"A+",AND(R88 &gt;=71,R88 &lt;=90),"A",AND(R88 &gt;=61,R88 &lt;=70),"B",AND(R88 &gt;=51,R88 &lt;=60),"C",AND(R88 &gt;=40,R88 &lt;=50),"D",R88 &lt;40,"F",R88="No Score","No Grade",OR(R88&gt;100,R88&lt;0),"Invalid score")</f>
        <v>A</v>
      </c>
      <c r="T88" t="str" cm="1">
        <f t="array" ref="T88">_xlfn.IFS(S88="A+","Distinction",S88="A","Excellent", S88="B","Credit",S88="C","Very Good", S88="D","Good",S88="F","Poor",OR(S88="No Grade",S88="Invalid Score"),"No Remark")</f>
        <v>Excellent</v>
      </c>
    </row>
    <row r="89" spans="1:20" x14ac:dyDescent="0.2">
      <c r="A89" s="1" t="s">
        <v>291</v>
      </c>
      <c r="B89" s="7">
        <f t="shared" si="10"/>
        <v>45542.836863425924</v>
      </c>
      <c r="C89" s="8">
        <f t="shared" si="13"/>
        <v>45542.836863425924</v>
      </c>
      <c r="D89" s="9">
        <f t="shared" si="14"/>
        <v>0.83686342592409346</v>
      </c>
      <c r="E89" s="1" t="s">
        <v>258</v>
      </c>
      <c r="F89" s="1" t="s">
        <v>292</v>
      </c>
      <c r="G89" s="1" t="str">
        <f t="shared" si="15"/>
        <v>Anne</v>
      </c>
      <c r="H89" s="1" t="s">
        <v>260</v>
      </c>
      <c r="I89" s="1" t="str">
        <f t="shared" si="16"/>
        <v>Orezi</v>
      </c>
      <c r="J89" s="1" t="str">
        <f t="shared" si="11"/>
        <v>Anne Orezi</v>
      </c>
      <c r="K89" s="1" t="str">
        <f t="shared" si="12"/>
        <v>Duplicate</v>
      </c>
      <c r="L89" s="1" t="str">
        <f t="shared" si="17"/>
        <v>anneorezi@3mtt.com</v>
      </c>
      <c r="M89" s="1" t="s">
        <v>12</v>
      </c>
      <c r="N89" s="1" t="str">
        <f t="shared" si="18"/>
        <v>Female</v>
      </c>
      <c r="O89" s="1">
        <v>18</v>
      </c>
      <c r="P89" s="1">
        <v>20</v>
      </c>
      <c r="Q89" s="1">
        <v>55</v>
      </c>
      <c r="R89" s="2" cm="1">
        <f t="array" ref="R89">IF(AND(ISNUMBER(O89:Q89),SUM(O89:Q89)&lt;100),SUM(O89:Q89),"No Score")</f>
        <v>93</v>
      </c>
      <c r="S89" t="str" cm="1">
        <f t="array" ref="S89">_xlfn.IFS(AND(R89 &gt;=91,R89 &lt;=100),"A+",AND(R89 &gt;=71,R89 &lt;=90),"A",AND(R89 &gt;=61,R89 &lt;=70),"B",AND(R89 &gt;=51,R89 &lt;=60),"C",AND(R89 &gt;=40,R89 &lt;=50),"D",R89 &lt;40,"F",R89="No Score","No Grade",OR(R89&gt;100,R89&lt;0),"Invalid score")</f>
        <v>A+</v>
      </c>
      <c r="T89" t="str" cm="1">
        <f t="array" ref="T89">_xlfn.IFS(S89="A+","Distinction",S89="A","Excellent", S89="B","Credit",S89="C","Very Good", S89="D","Good",S89="F","Poor",OR(S89="No Grade",S89="Invalid Score"),"No Remark")</f>
        <v>Distinction</v>
      </c>
    </row>
    <row r="90" spans="1:20" x14ac:dyDescent="0.2">
      <c r="A90" s="1" t="s">
        <v>295</v>
      </c>
      <c r="B90" s="7">
        <f t="shared" si="10"/>
        <v>45542.838321759256</v>
      </c>
      <c r="C90" s="8">
        <f t="shared" si="13"/>
        <v>45542.838321759256</v>
      </c>
      <c r="D90" s="9">
        <f t="shared" si="14"/>
        <v>0.83832175925635966</v>
      </c>
      <c r="E90" s="1" t="s">
        <v>296</v>
      </c>
      <c r="F90" s="1" t="s">
        <v>297</v>
      </c>
      <c r="G90" s="1" t="str">
        <f t="shared" si="15"/>
        <v>Ibrahim</v>
      </c>
      <c r="H90" s="1" t="s">
        <v>298</v>
      </c>
      <c r="I90" s="1" t="str">
        <f t="shared" si="16"/>
        <v>Bello</v>
      </c>
      <c r="J90" s="1" t="str">
        <f t="shared" si="11"/>
        <v>Ibrahim Bello</v>
      </c>
      <c r="K90" s="1" t="str">
        <f t="shared" si="12"/>
        <v>Unique</v>
      </c>
      <c r="L90" s="1" t="str">
        <f t="shared" si="17"/>
        <v>ibrahimbello@3mtt.com</v>
      </c>
      <c r="M90" s="1" t="s">
        <v>21</v>
      </c>
      <c r="N90" s="1" t="str">
        <f t="shared" si="18"/>
        <v>Male</v>
      </c>
      <c r="O90" s="1">
        <v>18</v>
      </c>
      <c r="P90" s="1">
        <v>16</v>
      </c>
      <c r="Q90" s="1">
        <v>55</v>
      </c>
      <c r="R90" s="2" cm="1">
        <f t="array" ref="R90">IF(AND(ISNUMBER(O90:Q90),SUM(O90:Q90)&lt;100),SUM(O90:Q90),"No Score")</f>
        <v>89</v>
      </c>
      <c r="S90" t="str" cm="1">
        <f t="array" ref="S90">_xlfn.IFS(AND(R90 &gt;=91,R90 &lt;=100),"A+",AND(R90 &gt;=71,R90 &lt;=90),"A",AND(R90 &gt;=61,R90 &lt;=70),"B",AND(R90 &gt;=51,R90 &lt;=60),"C",AND(R90 &gt;=40,R90 &lt;=50),"D",R90 &lt;40,"F",R90="No Score","No Grade",OR(R90&gt;100,R90&lt;0),"Invalid score")</f>
        <v>A</v>
      </c>
      <c r="T90" t="str" cm="1">
        <f t="array" ref="T90">_xlfn.IFS(S90="A+","Distinction",S90="A","Excellent", S90="B","Credit",S90="C","Very Good", S90="D","Good",S90="F","Poor",OR(S90="No Grade",S90="Invalid Score"),"No Remark")</f>
        <v>Excellent</v>
      </c>
    </row>
    <row r="91" spans="1:20" x14ac:dyDescent="0.2">
      <c r="A91" s="3" t="s">
        <v>299</v>
      </c>
      <c r="B91" s="7">
        <f t="shared" si="10"/>
        <v>45542.838541666664</v>
      </c>
      <c r="C91" s="10">
        <f t="shared" si="13"/>
        <v>45542.838541666664</v>
      </c>
      <c r="D91" s="11">
        <f t="shared" si="14"/>
        <v>0.83854166666424135</v>
      </c>
      <c r="E91" s="3" t="s">
        <v>258</v>
      </c>
      <c r="F91" s="3" t="s">
        <v>273</v>
      </c>
      <c r="G91" s="1" t="str">
        <f t="shared" si="15"/>
        <v>Aisha</v>
      </c>
      <c r="H91" s="3" t="s">
        <v>107</v>
      </c>
      <c r="I91" s="1" t="str">
        <f t="shared" si="16"/>
        <v>Musa</v>
      </c>
      <c r="J91" s="3" t="str">
        <f t="shared" si="11"/>
        <v>Aisha Musa</v>
      </c>
      <c r="K91" s="3" t="str">
        <f t="shared" si="12"/>
        <v>Duplicate</v>
      </c>
      <c r="L91" s="3" t="str">
        <f t="shared" si="17"/>
        <v>aishamusa@3mtt.com</v>
      </c>
      <c r="M91" s="1" t="s">
        <v>17</v>
      </c>
      <c r="N91" s="1" t="str">
        <f t="shared" si="18"/>
        <v xml:space="preserve">Female </v>
      </c>
      <c r="O91" s="3">
        <v>14</v>
      </c>
      <c r="P91" s="3">
        <v>16</v>
      </c>
      <c r="Q91" s="3">
        <v>50</v>
      </c>
      <c r="R91" s="2" cm="1">
        <f t="array" ref="R91">IF(AND(ISNUMBER(O91:Q91),SUM(O91:Q91)&lt;100),SUM(O91:Q91),"No Score")</f>
        <v>80</v>
      </c>
      <c r="S91" s="4" t="str" cm="1">
        <f t="array" ref="S91">_xlfn.IFS(AND(R91 &gt;=91,R91 &lt;=100),"A+",AND(R91 &gt;=71,R91 &lt;=90),"A",AND(R91 &gt;=61,R91 &lt;=70),"B",AND(R91 &gt;=51,R91 &lt;=60),"C",AND(R91 &gt;=40,R91 &lt;=50),"D",R91 &lt;40,"F",R91="No Score","No Grade",OR(R91&gt;100,R91&lt;0),"Invalid score")</f>
        <v>A</v>
      </c>
      <c r="T91" s="4" t="str" cm="1">
        <f t="array" ref="T91">_xlfn.IFS(S91="A+","Distinction",S91="A","Excellent", S91="B","Credit",S91="C","Very Good", S91="D","Good",S91="F","Poor",OR(S91="No Grade",S91="Invalid Score"),"No Remark")</f>
        <v>Excellent</v>
      </c>
    </row>
    <row r="92" spans="1:20" x14ac:dyDescent="0.2">
      <c r="A92" s="1" t="s">
        <v>301</v>
      </c>
      <c r="B92" s="7">
        <f t="shared" si="10"/>
        <v>45542.839143518519</v>
      </c>
      <c r="C92" s="8">
        <f t="shared" si="13"/>
        <v>45542.839143518519</v>
      </c>
      <c r="D92" s="9">
        <f t="shared" si="14"/>
        <v>0.83914351851854008</v>
      </c>
      <c r="E92" s="1" t="s">
        <v>296</v>
      </c>
      <c r="F92" s="1" t="s">
        <v>302</v>
      </c>
      <c r="G92" s="1" t="str">
        <f t="shared" si="15"/>
        <v>Esther</v>
      </c>
      <c r="H92" s="1" t="s">
        <v>303</v>
      </c>
      <c r="I92" s="1" t="str">
        <f t="shared" si="16"/>
        <v>Eze</v>
      </c>
      <c r="J92" s="1" t="str">
        <f t="shared" si="11"/>
        <v>Esther Eze</v>
      </c>
      <c r="K92" s="1" t="str">
        <f t="shared" si="12"/>
        <v>Unique</v>
      </c>
      <c r="L92" s="1" t="str">
        <f t="shared" si="17"/>
        <v>esthereze@3mtt.com</v>
      </c>
      <c r="M92" s="1" t="s">
        <v>42</v>
      </c>
      <c r="N92" s="1" t="str">
        <f t="shared" si="18"/>
        <v>Female</v>
      </c>
      <c r="O92" s="1">
        <v>15</v>
      </c>
      <c r="P92" s="1">
        <v>18</v>
      </c>
      <c r="Q92" s="1">
        <v>58</v>
      </c>
      <c r="R92" s="2" cm="1">
        <f t="array" ref="R92">IF(AND(ISNUMBER(O92:Q92),SUM(O92:Q92)&lt;100),SUM(O92:Q92),"No Score")</f>
        <v>91</v>
      </c>
      <c r="S92" t="str" cm="1">
        <f t="array" ref="S92">_xlfn.IFS(AND(R92 &gt;=91,R92 &lt;=100),"A+",AND(R92 &gt;=71,R92 &lt;=90),"A",AND(R92 &gt;=61,R92 &lt;=70),"B",AND(R92 &gt;=51,R92 &lt;=60),"C",AND(R92 &gt;=40,R92 &lt;=50),"D",R92 &lt;40,"F",R92="No Score","No Grade",OR(R92&gt;100,R92&lt;0),"Invalid score")</f>
        <v>A+</v>
      </c>
      <c r="T92" t="str" cm="1">
        <f t="array" ref="T92">_xlfn.IFS(S92="A+","Distinction",S92="A","Excellent", S92="B","Credit",S92="C","Very Good", S92="D","Good",S92="F","Poor",OR(S92="No Grade",S92="Invalid Score"),"No Remark")</f>
        <v>Distinction</v>
      </c>
    </row>
    <row r="93" spans="1:20" x14ac:dyDescent="0.2">
      <c r="A93" s="1" t="s">
        <v>304</v>
      </c>
      <c r="B93" s="7">
        <f t="shared" si="10"/>
        <v>45542.839837962965</v>
      </c>
      <c r="C93" s="8">
        <f t="shared" si="13"/>
        <v>45542.839837962965</v>
      </c>
      <c r="D93" s="9">
        <f t="shared" si="14"/>
        <v>0.83983796296524815</v>
      </c>
      <c r="E93" s="1" t="s">
        <v>296</v>
      </c>
      <c r="F93" s="1" t="s">
        <v>305</v>
      </c>
      <c r="G93" s="1" t="str">
        <f t="shared" si="15"/>
        <v>Godiya</v>
      </c>
      <c r="H93" s="1" t="s">
        <v>306</v>
      </c>
      <c r="I93" s="1" t="str">
        <f t="shared" si="16"/>
        <v>Sale</v>
      </c>
      <c r="J93" s="1" t="str">
        <f t="shared" si="11"/>
        <v>Godiya Sale</v>
      </c>
      <c r="K93" s="1" t="str">
        <f t="shared" si="12"/>
        <v>Unique</v>
      </c>
      <c r="L93" s="1" t="str">
        <f t="shared" si="17"/>
        <v>godiyasale@3mtt.com</v>
      </c>
      <c r="M93" s="1" t="s">
        <v>12</v>
      </c>
      <c r="N93" s="1" t="str">
        <f t="shared" si="18"/>
        <v>Female</v>
      </c>
      <c r="O93" s="1">
        <v>17</v>
      </c>
      <c r="P93" s="1">
        <v>14</v>
      </c>
      <c r="Q93" s="1">
        <v>52</v>
      </c>
      <c r="R93" s="2" cm="1">
        <f t="array" ref="R93">IF(AND(ISNUMBER(O93:Q93),SUM(O93:Q93)&lt;100),SUM(O93:Q93),"No Score")</f>
        <v>83</v>
      </c>
      <c r="S93" t="str" cm="1">
        <f t="array" ref="S93">_xlfn.IFS(AND(R93 &gt;=91,R93 &lt;=100),"A+",AND(R93 &gt;=71,R93 &lt;=90),"A",AND(R93 &gt;=61,R93 &lt;=70),"B",AND(R93 &gt;=51,R93 &lt;=60),"C",AND(R93 &gt;=40,R93 &lt;=50),"D",R93 &lt;40,"F",R93="No Score","No Grade",OR(R93&gt;100,R93&lt;0),"Invalid score")</f>
        <v>A</v>
      </c>
      <c r="T93" t="str" cm="1">
        <f t="array" ref="T93">_xlfn.IFS(S93="A+","Distinction",S93="A","Excellent", S93="B","Credit",S93="C","Very Good", S93="D","Good",S93="F","Poor",OR(S93="No Grade",S93="Invalid Score"),"No Remark")</f>
        <v>Excellent</v>
      </c>
    </row>
    <row r="94" spans="1:20" x14ac:dyDescent="0.2">
      <c r="A94" s="1" t="s">
        <v>307</v>
      </c>
      <c r="B94" s="7">
        <f t="shared" si="10"/>
        <v>45542.840729166666</v>
      </c>
      <c r="C94" s="8">
        <f t="shared" si="13"/>
        <v>45542.840729166666</v>
      </c>
      <c r="D94" s="9">
        <f t="shared" si="14"/>
        <v>0.84072916666627862</v>
      </c>
      <c r="E94" s="1" t="s">
        <v>296</v>
      </c>
      <c r="F94" s="1" t="s">
        <v>308</v>
      </c>
      <c r="G94" s="1" t="str">
        <f t="shared" si="15"/>
        <v>Adamu</v>
      </c>
      <c r="H94" s="1" t="s">
        <v>309</v>
      </c>
      <c r="I94" s="1" t="str">
        <f t="shared" si="16"/>
        <v>Garba</v>
      </c>
      <c r="J94" s="1" t="str">
        <f t="shared" si="11"/>
        <v>Adamu Garba</v>
      </c>
      <c r="K94" s="1" t="str">
        <f t="shared" si="12"/>
        <v>Unique</v>
      </c>
      <c r="L94" s="1" t="str">
        <f t="shared" si="17"/>
        <v>adamugarba@3mtt.com</v>
      </c>
      <c r="M94" s="1" t="s">
        <v>35</v>
      </c>
      <c r="N94" s="1" t="str">
        <f t="shared" si="18"/>
        <v>Male</v>
      </c>
      <c r="O94" s="1">
        <v>15</v>
      </c>
      <c r="P94" s="1">
        <v>18</v>
      </c>
      <c r="Q94" s="1">
        <v>45</v>
      </c>
      <c r="R94" s="2" cm="1">
        <f t="array" ref="R94">IF(AND(ISNUMBER(O94:Q94),SUM(O94:Q94)&lt;100),SUM(O94:Q94),"No Score")</f>
        <v>78</v>
      </c>
      <c r="S94" t="str" cm="1">
        <f t="array" ref="S94">_xlfn.IFS(AND(R94 &gt;=91,R94 &lt;=100),"A+",AND(R94 &gt;=71,R94 &lt;=90),"A",AND(R94 &gt;=61,R94 &lt;=70),"B",AND(R94 &gt;=51,R94 &lt;=60),"C",AND(R94 &gt;=40,R94 &lt;=50),"D",R94 &lt;40,"F",R94="No Score","No Grade",OR(R94&gt;100,R94&lt;0),"Invalid score")</f>
        <v>A</v>
      </c>
      <c r="T94" t="str" cm="1">
        <f t="array" ref="T94">_xlfn.IFS(S94="A+","Distinction",S94="A","Excellent", S94="B","Credit",S94="C","Very Good", S94="D","Good",S94="F","Poor",OR(S94="No Grade",S94="Invalid Score"),"No Remark")</f>
        <v>Excellent</v>
      </c>
    </row>
    <row r="95" spans="1:20" x14ac:dyDescent="0.2">
      <c r="A95" s="1" t="s">
        <v>310</v>
      </c>
      <c r="B95" s="7">
        <f t="shared" si="10"/>
        <v>45542.841365740744</v>
      </c>
      <c r="C95" s="8">
        <f t="shared" si="13"/>
        <v>45542.841365740744</v>
      </c>
      <c r="D95" s="9">
        <f t="shared" si="14"/>
        <v>0.84136574074364034</v>
      </c>
      <c r="E95" s="1" t="s">
        <v>296</v>
      </c>
      <c r="F95" s="1" t="s">
        <v>311</v>
      </c>
      <c r="G95" s="1" t="str">
        <f t="shared" si="15"/>
        <v>Ezekiel</v>
      </c>
      <c r="H95" s="1" t="s">
        <v>312</v>
      </c>
      <c r="I95" s="1" t="str">
        <f t="shared" si="16"/>
        <v>Maiyabo</v>
      </c>
      <c r="J95" s="1" t="str">
        <f t="shared" si="11"/>
        <v>Ezekiel Maiyabo</v>
      </c>
      <c r="K95" s="1" t="str">
        <f t="shared" si="12"/>
        <v>Unique</v>
      </c>
      <c r="L95" s="1" t="str">
        <f t="shared" si="17"/>
        <v>ezekielmaiyabo@3mtt.com</v>
      </c>
      <c r="M95" s="1" t="s">
        <v>35</v>
      </c>
      <c r="N95" s="1" t="str">
        <f t="shared" si="18"/>
        <v>Male</v>
      </c>
      <c r="O95" s="1">
        <v>19</v>
      </c>
      <c r="P95" s="1">
        <v>17</v>
      </c>
      <c r="Q95" s="1">
        <v>50</v>
      </c>
      <c r="R95" s="2" cm="1">
        <f t="array" ref="R95">IF(AND(ISNUMBER(O95:Q95),SUM(O95:Q95)&lt;100),SUM(O95:Q95),"No Score")</f>
        <v>86</v>
      </c>
      <c r="S95" t="str" cm="1">
        <f t="array" ref="S95">_xlfn.IFS(AND(R95 &gt;=91,R95 &lt;=100),"A+",AND(R95 &gt;=71,R95 &lt;=90),"A",AND(R95 &gt;=61,R95 &lt;=70),"B",AND(R95 &gt;=51,R95 &lt;=60),"C",AND(R95 &gt;=40,R95 &lt;=50),"D",R95 &lt;40,"F",R95="No Score","No Grade",OR(R95&gt;100,R95&lt;0),"Invalid score")</f>
        <v>A</v>
      </c>
      <c r="T95" t="str" cm="1">
        <f t="array" ref="T95">_xlfn.IFS(S95="A+","Distinction",S95="A","Excellent", S95="B","Credit",S95="C","Very Good", S95="D","Good",S95="F","Poor",OR(S95="No Grade",S95="Invalid Score"),"No Remark")</f>
        <v>Excellent</v>
      </c>
    </row>
    <row r="96" spans="1:20" x14ac:dyDescent="0.2">
      <c r="A96" s="1" t="s">
        <v>313</v>
      </c>
      <c r="B96" s="7">
        <f t="shared" si="10"/>
        <v>45542.842372685183</v>
      </c>
      <c r="C96" s="8">
        <f t="shared" si="13"/>
        <v>45542.842372685183</v>
      </c>
      <c r="D96" s="9">
        <f t="shared" si="14"/>
        <v>0.8423726851833635</v>
      </c>
      <c r="E96" s="1" t="s">
        <v>314</v>
      </c>
      <c r="F96" s="1" t="s">
        <v>315</v>
      </c>
      <c r="G96" s="1" t="str">
        <f t="shared" si="15"/>
        <v>Zainab</v>
      </c>
      <c r="H96" s="1" t="s">
        <v>316</v>
      </c>
      <c r="I96" s="1" t="str">
        <f t="shared" si="16"/>
        <v>Usman</v>
      </c>
      <c r="J96" s="1" t="str">
        <f t="shared" si="11"/>
        <v>Zainab Usman</v>
      </c>
      <c r="K96" s="1" t="str">
        <f t="shared" si="12"/>
        <v>Unique</v>
      </c>
      <c r="L96" s="1" t="str">
        <f t="shared" si="17"/>
        <v>zainabusman@3mtt.com</v>
      </c>
      <c r="M96" s="1" t="s">
        <v>17</v>
      </c>
      <c r="N96" s="1" t="str">
        <f t="shared" si="18"/>
        <v xml:space="preserve">Female </v>
      </c>
      <c r="O96" s="1">
        <v>18</v>
      </c>
      <c r="P96" s="1">
        <v>15</v>
      </c>
      <c r="Q96" s="1">
        <v>55</v>
      </c>
      <c r="R96" s="2" cm="1">
        <f t="array" ref="R96">IF(AND(ISNUMBER(O96:Q96),SUM(O96:Q96)&lt;100),SUM(O96:Q96),"No Score")</f>
        <v>88</v>
      </c>
      <c r="S96" t="str" cm="1">
        <f t="array" ref="S96">_xlfn.IFS(AND(R96 &gt;=91,R96 &lt;=100),"A+",AND(R96 &gt;=71,R96 &lt;=90),"A",AND(R96 &gt;=61,R96 &lt;=70),"B",AND(R96 &gt;=51,R96 &lt;=60),"C",AND(R96 &gt;=40,R96 &lt;=50),"D",R96 &lt;40,"F",R96="No Score","No Grade",OR(R96&gt;100,R96&lt;0),"Invalid score")</f>
        <v>A</v>
      </c>
      <c r="T96" t="str" cm="1">
        <f t="array" ref="T96">_xlfn.IFS(S96="A+","Distinction",S96="A","Excellent", S96="B","Credit",S96="C","Very Good", S96="D","Good",S96="F","Poor",OR(S96="No Grade",S96="Invalid Score"),"No Remark")</f>
        <v>Excellent</v>
      </c>
    </row>
    <row r="97" spans="1:20" x14ac:dyDescent="0.2">
      <c r="A97" s="1" t="s">
        <v>317</v>
      </c>
      <c r="B97" s="7">
        <f t="shared" si="10"/>
        <v>45542.842939814815</v>
      </c>
      <c r="C97" s="8">
        <f t="shared" si="13"/>
        <v>45542.842939814815</v>
      </c>
      <c r="D97" s="9">
        <f t="shared" si="14"/>
        <v>0.84293981481459923</v>
      </c>
      <c r="E97" s="1" t="s">
        <v>314</v>
      </c>
      <c r="F97" s="1" t="s">
        <v>318</v>
      </c>
      <c r="G97" s="1" t="str">
        <f t="shared" si="15"/>
        <v>Aminat</v>
      </c>
      <c r="H97" s="1" t="s">
        <v>319</v>
      </c>
      <c r="I97" s="1" t="str">
        <f t="shared" si="16"/>
        <v>Abdulraheem</v>
      </c>
      <c r="J97" s="1" t="str">
        <f t="shared" si="11"/>
        <v>Aminat Abdulraheem</v>
      </c>
      <c r="K97" s="1" t="str">
        <f t="shared" si="12"/>
        <v>Unique</v>
      </c>
      <c r="L97" s="1" t="str">
        <f t="shared" si="17"/>
        <v>aminatabdulraheem@3mtt.com</v>
      </c>
      <c r="M97" s="1" t="s">
        <v>17</v>
      </c>
      <c r="N97" s="1" t="str">
        <f t="shared" si="18"/>
        <v xml:space="preserve">Female </v>
      </c>
      <c r="O97" s="1">
        <v>10</v>
      </c>
      <c r="P97" s="1">
        <v>15</v>
      </c>
      <c r="Q97" s="1">
        <v>40</v>
      </c>
      <c r="R97" s="2" cm="1">
        <f t="array" ref="R97">IF(AND(ISNUMBER(O97:Q97),SUM(O97:Q97)&lt;100),SUM(O97:Q97),"No Score")</f>
        <v>65</v>
      </c>
      <c r="S97" t="str" cm="1">
        <f t="array" ref="S97">_xlfn.IFS(AND(R97 &gt;=91,R97 &lt;=100),"A+",AND(R97 &gt;=71,R97 &lt;=90),"A",AND(R97 &gt;=61,R97 &lt;=70),"B",AND(R97 &gt;=51,R97 &lt;=60),"C",AND(R97 &gt;=40,R97 &lt;=50),"D",R97 &lt;40,"F",R97="No Score","No Grade",OR(R97&gt;100,R97&lt;0),"Invalid score")</f>
        <v>B</v>
      </c>
      <c r="T97" t="str" cm="1">
        <f t="array" ref="T97">_xlfn.IFS(S97="A+","Distinction",S97="A","Excellent", S97="B","Credit",S97="C","Very Good", S97="D","Good",S97="F","Poor",OR(S97="No Grade",S97="Invalid Score"),"No Remark")</f>
        <v>Credit</v>
      </c>
    </row>
    <row r="98" spans="1:20" x14ac:dyDescent="0.2">
      <c r="A98" s="1" t="s">
        <v>320</v>
      </c>
      <c r="B98" s="7">
        <f t="shared" si="10"/>
        <v>45542.843310185184</v>
      </c>
      <c r="C98" s="8">
        <f t="shared" si="13"/>
        <v>45542.843310185184</v>
      </c>
      <c r="D98" s="9">
        <f t="shared" si="14"/>
        <v>0.84331018518423662</v>
      </c>
      <c r="E98" s="1" t="s">
        <v>314</v>
      </c>
      <c r="F98" s="1" t="s">
        <v>321</v>
      </c>
      <c r="G98" s="1" t="str">
        <f t="shared" si="15"/>
        <v>Yusuf</v>
      </c>
      <c r="H98" s="1" t="s">
        <v>322</v>
      </c>
      <c r="I98" s="1" t="str">
        <f t="shared" si="16"/>
        <v>Waheed</v>
      </c>
      <c r="J98" s="1" t="str">
        <f t="shared" si="11"/>
        <v>Yusuf Waheed</v>
      </c>
      <c r="K98" s="1" t="str">
        <f t="shared" si="12"/>
        <v>Unique</v>
      </c>
      <c r="L98" s="1" t="str">
        <f t="shared" si="17"/>
        <v>yusufwaheed@3mtt.com</v>
      </c>
      <c r="M98" s="1" t="s">
        <v>323</v>
      </c>
      <c r="N98" s="1" t="str">
        <f t="shared" si="18"/>
        <v>Male</v>
      </c>
      <c r="O98" s="1">
        <v>15</v>
      </c>
      <c r="P98" s="1">
        <v>20</v>
      </c>
      <c r="Q98" s="1">
        <v>46</v>
      </c>
      <c r="R98" s="2" cm="1">
        <f t="array" ref="R98">IF(AND(ISNUMBER(O98:Q98),SUM(O98:Q98)&lt;100),SUM(O98:Q98),"No Score")</f>
        <v>81</v>
      </c>
      <c r="S98" t="str" cm="1">
        <f t="array" ref="S98">_xlfn.IFS(AND(R98 &gt;=91,R98 &lt;=100),"A+",AND(R98 &gt;=71,R98 &lt;=90),"A",AND(R98 &gt;=61,R98 &lt;=70),"B",AND(R98 &gt;=51,R98 &lt;=60),"C",AND(R98 &gt;=40,R98 &lt;=50),"D",R98 &lt;40,"F",R98="No Score","No Grade",OR(R98&gt;100,R98&lt;0),"Invalid score")</f>
        <v>A</v>
      </c>
      <c r="T98" t="str" cm="1">
        <f t="array" ref="T98">_xlfn.IFS(S98="A+","Distinction",S98="A","Excellent", S98="B","Credit",S98="C","Very Good", S98="D","Good",S98="F","Poor",OR(S98="No Grade",S98="Invalid Score"),"No Remark")</f>
        <v>Excellent</v>
      </c>
    </row>
    <row r="99" spans="1:20" x14ac:dyDescent="0.2">
      <c r="A99" s="1" t="s">
        <v>324</v>
      </c>
      <c r="B99" s="7">
        <f t="shared" si="10"/>
        <v>45542.843680555554</v>
      </c>
      <c r="C99" s="8">
        <f t="shared" si="13"/>
        <v>45542.843680555554</v>
      </c>
      <c r="D99" s="9">
        <f t="shared" si="14"/>
        <v>0.843680555553874</v>
      </c>
      <c r="E99" s="1" t="s">
        <v>314</v>
      </c>
      <c r="F99" s="1" t="s">
        <v>325</v>
      </c>
      <c r="G99" s="1" t="str">
        <f t="shared" si="15"/>
        <v>Daniel</v>
      </c>
      <c r="H99" s="1" t="s">
        <v>234</v>
      </c>
      <c r="I99" s="1" t="str">
        <f t="shared" si="16"/>
        <v>Omo</v>
      </c>
      <c r="J99" s="1" t="str">
        <f t="shared" si="11"/>
        <v>Daniel Omo</v>
      </c>
      <c r="K99" s="1" t="str">
        <f t="shared" si="12"/>
        <v>Unique</v>
      </c>
      <c r="L99" s="1" t="str">
        <f t="shared" ref="L99:L130" si="19">_xlfn.CONCAT(LOWER(G99),LOWER(I99),"@3mtt.com")</f>
        <v>danielomo@3mtt.com</v>
      </c>
      <c r="M99" s="1" t="s">
        <v>53</v>
      </c>
      <c r="N99" s="1" t="str">
        <f t="shared" si="18"/>
        <v xml:space="preserve">Male </v>
      </c>
      <c r="O99" s="1">
        <v>12</v>
      </c>
      <c r="P99" s="1">
        <v>16</v>
      </c>
      <c r="Q99" s="1">
        <v>50</v>
      </c>
      <c r="R99" s="2" cm="1">
        <f t="array" ref="R99">IF(AND(ISNUMBER(O99:Q99),SUM(O99:Q99)&lt;100),SUM(O99:Q99),"No Score")</f>
        <v>78</v>
      </c>
      <c r="S99" t="str" cm="1">
        <f t="array" ref="S99">_xlfn.IFS(AND(R99 &gt;=91,R99 &lt;=100),"A+",AND(R99 &gt;=71,R99 &lt;=90),"A",AND(R99 &gt;=61,R99 &lt;=70),"B",AND(R99 &gt;=51,R99 &lt;=60),"C",AND(R99 &gt;=40,R99 &lt;=50),"D",R99 &lt;40,"F",R99="No Score","No Grade",OR(R99&gt;100,R99&lt;0),"Invalid score")</f>
        <v>A</v>
      </c>
      <c r="T99" t="str" cm="1">
        <f t="array" ref="T99">_xlfn.IFS(S99="A+","Distinction",S99="A","Excellent", S99="B","Credit",S99="C","Very Good", S99="D","Good",S99="F","Poor",OR(S99="No Grade",S99="Invalid Score"),"No Remark")</f>
        <v>Excellent</v>
      </c>
    </row>
    <row r="100" spans="1:20" x14ac:dyDescent="0.2">
      <c r="A100" s="1" t="s">
        <v>326</v>
      </c>
      <c r="B100" s="7">
        <f t="shared" si="10"/>
        <v>45542.844004629631</v>
      </c>
      <c r="C100" s="8">
        <f t="shared" si="13"/>
        <v>45542.844004629631</v>
      </c>
      <c r="D100" s="9">
        <f t="shared" si="14"/>
        <v>0.84400462963094469</v>
      </c>
      <c r="E100" s="1" t="s">
        <v>314</v>
      </c>
      <c r="F100" s="1" t="s">
        <v>327</v>
      </c>
      <c r="G100" s="1" t="str">
        <f t="shared" si="15"/>
        <v>Jumai</v>
      </c>
      <c r="H100" s="1" t="s">
        <v>316</v>
      </c>
      <c r="I100" s="1" t="str">
        <f t="shared" si="16"/>
        <v>Usman</v>
      </c>
      <c r="J100" s="1" t="str">
        <f t="shared" si="11"/>
        <v>Jumai Usman</v>
      </c>
      <c r="K100" s="1" t="str">
        <f t="shared" si="12"/>
        <v>Unique</v>
      </c>
      <c r="L100" s="1" t="str">
        <f t="shared" si="19"/>
        <v>jumaiusman@3mtt.com</v>
      </c>
      <c r="M100" s="1" t="s">
        <v>17</v>
      </c>
      <c r="N100" s="1" t="str">
        <f t="shared" si="18"/>
        <v xml:space="preserve">Female </v>
      </c>
      <c r="O100" s="1">
        <v>19</v>
      </c>
      <c r="P100" s="1">
        <v>20</v>
      </c>
      <c r="Q100" s="1">
        <v>58</v>
      </c>
      <c r="R100" s="2" cm="1">
        <f t="array" ref="R100">IF(AND(ISNUMBER(O100:Q100),SUM(O100:Q100)&lt;100),SUM(O100:Q100),"No Score")</f>
        <v>97</v>
      </c>
      <c r="S100" t="str" cm="1">
        <f t="array" ref="S100">_xlfn.IFS(AND(R100 &gt;=91,R100 &lt;=100),"A+",AND(R100 &gt;=71,R100 &lt;=90),"A",AND(R100 &gt;=61,R100 &lt;=70),"B",AND(R100 &gt;=51,R100 &lt;=60),"C",AND(R100 &gt;=40,R100 &lt;=50),"D",R100 &lt;40,"F",R100="No Score","No Grade",OR(R100&gt;100,R100&lt;0),"Invalid score")</f>
        <v>A+</v>
      </c>
      <c r="T100" t="str" cm="1">
        <f t="array" ref="T100">_xlfn.IFS(S100="A+","Distinction",S100="A","Excellent", S100="B","Credit",S100="C","Very Good", S100="D","Good",S100="F","Poor",OR(S100="No Grade",S100="Invalid Score"),"No Remark")</f>
        <v>Distinction</v>
      </c>
    </row>
    <row r="101" spans="1:20" x14ac:dyDescent="0.2">
      <c r="A101" s="1" t="s">
        <v>328</v>
      </c>
      <c r="B101" s="7">
        <f t="shared" si="10"/>
        <v>45542.85125</v>
      </c>
      <c r="C101" s="8">
        <f t="shared" si="13"/>
        <v>45542.85125</v>
      </c>
      <c r="D101" s="9">
        <f t="shared" si="14"/>
        <v>0.85124999999970896</v>
      </c>
      <c r="E101" s="1" t="s">
        <v>329</v>
      </c>
      <c r="F101" s="1" t="s">
        <v>330</v>
      </c>
      <c r="G101" s="1" t="str">
        <f t="shared" si="15"/>
        <v>Mukhtar</v>
      </c>
      <c r="H101" s="1" t="s">
        <v>331</v>
      </c>
      <c r="I101" s="1" t="str">
        <f t="shared" si="16"/>
        <v>Iliyasu</v>
      </c>
      <c r="J101" s="1" t="str">
        <f t="shared" si="11"/>
        <v>Mukhtar Iliyasu</v>
      </c>
      <c r="K101" s="1" t="str">
        <f t="shared" si="12"/>
        <v>Unique</v>
      </c>
      <c r="L101" s="1" t="str">
        <f t="shared" si="19"/>
        <v>mukhtariliyasu@3mtt.com</v>
      </c>
      <c r="M101" s="1" t="s">
        <v>21</v>
      </c>
      <c r="N101" s="1" t="str">
        <f t="shared" si="18"/>
        <v>Male</v>
      </c>
      <c r="O101" s="1">
        <v>19</v>
      </c>
      <c r="P101" s="1">
        <v>20</v>
      </c>
      <c r="Q101" s="1">
        <v>55</v>
      </c>
      <c r="R101" s="2" cm="1">
        <f t="array" ref="R101">IF(AND(ISNUMBER(O101:Q101),SUM(O101:Q101)&lt;100),SUM(O101:Q101),"No Score")</f>
        <v>94</v>
      </c>
      <c r="S101" t="str" cm="1">
        <f t="array" ref="S101">_xlfn.IFS(AND(R101 &gt;=91,R101 &lt;=100),"A+",AND(R101 &gt;=71,R101 &lt;=90),"A",AND(R101 &gt;=61,R101 &lt;=70),"B",AND(R101 &gt;=51,R101 &lt;=60),"C",AND(R101 &gt;=40,R101 &lt;=50),"D",R101 &lt;40,"F",R101="No Score","No Grade",OR(R101&gt;100,R101&lt;0),"Invalid score")</f>
        <v>A+</v>
      </c>
      <c r="T101" t="str" cm="1">
        <f t="array" ref="T101">_xlfn.IFS(S101="A+","Distinction",S101="A","Excellent", S101="B","Credit",S101="C","Very Good", S101="D","Good",S101="F","Poor",OR(S101="No Grade",S101="Invalid Score"),"No Remark")</f>
        <v>Distinction</v>
      </c>
    </row>
    <row r="102" spans="1:20" x14ac:dyDescent="0.2">
      <c r="A102" s="1" t="s">
        <v>332</v>
      </c>
      <c r="B102" s="7">
        <f t="shared" si="10"/>
        <v>45542.852002314816</v>
      </c>
      <c r="C102" s="8">
        <f t="shared" si="13"/>
        <v>45542.852002314816</v>
      </c>
      <c r="D102" s="9">
        <f t="shared" si="14"/>
        <v>0.85200231481576338</v>
      </c>
      <c r="E102" s="1" t="s">
        <v>329</v>
      </c>
      <c r="F102" s="1" t="s">
        <v>333</v>
      </c>
      <c r="G102" s="1" t="str">
        <f t="shared" si="15"/>
        <v>Maryam</v>
      </c>
      <c r="H102" s="1" t="s">
        <v>108</v>
      </c>
      <c r="I102" s="1" t="str">
        <f t="shared" si="16"/>
        <v>Ibrahim</v>
      </c>
      <c r="J102" s="1" t="str">
        <f t="shared" si="11"/>
        <v>Maryam Ibrahim</v>
      </c>
      <c r="K102" s="1" t="str">
        <f t="shared" si="12"/>
        <v>Unique</v>
      </c>
      <c r="L102" s="1" t="str">
        <f t="shared" si="19"/>
        <v>maryamibrahim@3mtt.com</v>
      </c>
      <c r="M102" s="1" t="s">
        <v>12</v>
      </c>
      <c r="N102" s="1" t="str">
        <f t="shared" si="18"/>
        <v>Female</v>
      </c>
      <c r="O102" s="1">
        <v>15</v>
      </c>
      <c r="P102" s="1">
        <v>12</v>
      </c>
      <c r="Q102" s="1">
        <v>49</v>
      </c>
      <c r="R102" s="2" cm="1">
        <f t="array" ref="R102">IF(AND(ISNUMBER(O102:Q102),SUM(O102:Q102)&lt;100),SUM(O102:Q102),"No Score")</f>
        <v>76</v>
      </c>
      <c r="S102" t="str" cm="1">
        <f t="array" ref="S102">_xlfn.IFS(AND(R102 &gt;=91,R102 &lt;=100),"A+",AND(R102 &gt;=71,R102 &lt;=90),"A",AND(R102 &gt;=61,R102 &lt;=70),"B",AND(R102 &gt;=51,R102 &lt;=60),"C",AND(R102 &gt;=40,R102 &lt;=50),"D",R102 &lt;40,"F",R102="No Score","No Grade",OR(R102&gt;100,R102&lt;0),"Invalid score")</f>
        <v>A</v>
      </c>
      <c r="T102" t="str" cm="1">
        <f t="array" ref="T102">_xlfn.IFS(S102="A+","Distinction",S102="A","Excellent", S102="B","Credit",S102="C","Very Good", S102="D","Good",S102="F","Poor",OR(S102="No Grade",S102="Invalid Score"),"No Remark")</f>
        <v>Excellent</v>
      </c>
    </row>
    <row r="103" spans="1:20" x14ac:dyDescent="0.2">
      <c r="A103" s="1" t="s">
        <v>334</v>
      </c>
      <c r="B103" s="7">
        <f t="shared" si="10"/>
        <v>45542.852858796294</v>
      </c>
      <c r="C103" s="8">
        <f t="shared" si="13"/>
        <v>45542.852858796294</v>
      </c>
      <c r="D103" s="9">
        <f t="shared" si="14"/>
        <v>0.85285879629373085</v>
      </c>
      <c r="E103" s="1" t="s">
        <v>329</v>
      </c>
      <c r="F103" s="1" t="s">
        <v>273</v>
      </c>
      <c r="G103" s="1" t="str">
        <f t="shared" si="15"/>
        <v>Aisha</v>
      </c>
      <c r="H103" s="1" t="s">
        <v>335</v>
      </c>
      <c r="I103" s="1" t="str">
        <f t="shared" si="16"/>
        <v>Abdulrahman</v>
      </c>
      <c r="J103" s="1" t="str">
        <f t="shared" si="11"/>
        <v>Aisha Abdulrahman</v>
      </c>
      <c r="K103" s="1" t="str">
        <f t="shared" si="12"/>
        <v>Unique</v>
      </c>
      <c r="L103" s="1" t="str">
        <f t="shared" si="19"/>
        <v>aishaabdulrahman@3mtt.com</v>
      </c>
      <c r="M103" s="1" t="s">
        <v>12</v>
      </c>
      <c r="N103" s="1" t="str">
        <f t="shared" si="18"/>
        <v>Female</v>
      </c>
      <c r="O103" s="1">
        <v>10</v>
      </c>
      <c r="P103" s="1">
        <v>9</v>
      </c>
      <c r="Q103" s="1">
        <v>30</v>
      </c>
      <c r="R103" s="2" cm="1">
        <f t="array" ref="R103">IF(AND(ISNUMBER(O103:Q103),SUM(O103:Q103)&lt;100),SUM(O103:Q103),"No Score")</f>
        <v>49</v>
      </c>
      <c r="S103" t="str" cm="1">
        <f t="array" ref="S103">_xlfn.IFS(AND(R103 &gt;=91,R103 &lt;=100),"A+",AND(R103 &gt;=71,R103 &lt;=90),"A",AND(R103 &gt;=61,R103 &lt;=70),"B",AND(R103 &gt;=51,R103 &lt;=60),"C",AND(R103 &gt;=40,R103 &lt;=50),"D",R103 &lt;40,"F",R103="No Score","No Grade",OR(R103&gt;100,R103&lt;0),"Invalid score")</f>
        <v>D</v>
      </c>
      <c r="T103" t="str" cm="1">
        <f t="array" ref="T103">_xlfn.IFS(S103="A+","Distinction",S103="A","Excellent", S103="B","Credit",S103="C","Very Good", S103="D","Good",S103="F","Poor",OR(S103="No Grade",S103="Invalid Score"),"No Remark")</f>
        <v>Good</v>
      </c>
    </row>
    <row r="104" spans="1:20" x14ac:dyDescent="0.2">
      <c r="A104" s="1" t="s">
        <v>336</v>
      </c>
      <c r="B104" s="7">
        <f t="shared" si="10"/>
        <v>45542.853703703702</v>
      </c>
      <c r="C104" s="8">
        <f t="shared" si="13"/>
        <v>45542.853703703702</v>
      </c>
      <c r="D104" s="9">
        <f t="shared" si="14"/>
        <v>0.85370370370219462</v>
      </c>
      <c r="E104" s="1" t="s">
        <v>329</v>
      </c>
      <c r="F104" s="1" t="s">
        <v>337</v>
      </c>
      <c r="G104" s="1" t="str">
        <f t="shared" si="15"/>
        <v>Jadalhaq</v>
      </c>
      <c r="H104" s="1" t="s">
        <v>111</v>
      </c>
      <c r="I104" s="1" t="str">
        <f t="shared" si="16"/>
        <v>Lawal</v>
      </c>
      <c r="J104" s="1" t="str">
        <f t="shared" si="11"/>
        <v>Jadalhaq Lawal</v>
      </c>
      <c r="K104" s="1" t="str">
        <f t="shared" si="12"/>
        <v>Unique</v>
      </c>
      <c r="L104" s="1" t="str">
        <f t="shared" si="19"/>
        <v>jadalhaqlawal@3mtt.com</v>
      </c>
      <c r="M104" s="1" t="s">
        <v>21</v>
      </c>
      <c r="N104" s="1" t="str">
        <f t="shared" si="18"/>
        <v>Male</v>
      </c>
      <c r="O104" s="1">
        <v>13</v>
      </c>
      <c r="P104" s="1">
        <v>15</v>
      </c>
      <c r="Q104" s="1">
        <v>50</v>
      </c>
      <c r="R104" s="2" cm="1">
        <f t="array" ref="R104">IF(AND(ISNUMBER(O104:Q104),SUM(O104:Q104)&lt;100),SUM(O104:Q104),"No Score")</f>
        <v>78</v>
      </c>
      <c r="S104" t="str" cm="1">
        <f t="array" ref="S104">_xlfn.IFS(AND(R104 &gt;=91,R104 &lt;=100),"A+",AND(R104 &gt;=71,R104 &lt;=90),"A",AND(R104 &gt;=61,R104 &lt;=70),"B",AND(R104 &gt;=51,R104 &lt;=60),"C",AND(R104 &gt;=40,R104 &lt;=50),"D",R104 &lt;40,"F",R104="No Score","No Grade",OR(R104&gt;100,R104&lt;0),"Invalid score")</f>
        <v>A</v>
      </c>
      <c r="T104" t="str" cm="1">
        <f t="array" ref="T104">_xlfn.IFS(S104="A+","Distinction",S104="A","Excellent", S104="B","Credit",S104="C","Very Good", S104="D","Good",S104="F","Poor",OR(S104="No Grade",S104="Invalid Score"),"No Remark")</f>
        <v>Excellent</v>
      </c>
    </row>
    <row r="105" spans="1:20" x14ac:dyDescent="0.2">
      <c r="A105" s="1" t="s">
        <v>338</v>
      </c>
      <c r="B105" s="7">
        <f t="shared" si="10"/>
        <v>45542.855046296296</v>
      </c>
      <c r="C105" s="8">
        <f t="shared" si="13"/>
        <v>45542.855046296296</v>
      </c>
      <c r="D105" s="9">
        <f t="shared" si="14"/>
        <v>0.85504629629576812</v>
      </c>
      <c r="E105" s="1" t="s">
        <v>329</v>
      </c>
      <c r="F105" s="1" t="s">
        <v>339</v>
      </c>
      <c r="G105" s="1" t="str">
        <f t="shared" si="15"/>
        <v>Ayodeji</v>
      </c>
      <c r="H105" s="1" t="s">
        <v>340</v>
      </c>
      <c r="I105" s="1" t="str">
        <f t="shared" si="16"/>
        <v>Banigbe</v>
      </c>
      <c r="J105" s="1" t="str">
        <f t="shared" si="11"/>
        <v>Ayodeji Banigbe</v>
      </c>
      <c r="K105" s="1" t="str">
        <f t="shared" si="12"/>
        <v>Unique</v>
      </c>
      <c r="L105" s="1" t="str">
        <f t="shared" si="19"/>
        <v>ayodejibanigbe@3mtt.com</v>
      </c>
      <c r="M105" s="1" t="s">
        <v>21</v>
      </c>
      <c r="N105" s="1" t="str">
        <f t="shared" si="18"/>
        <v>Male</v>
      </c>
      <c r="O105" s="1">
        <v>6</v>
      </c>
      <c r="P105" s="1">
        <v>11</v>
      </c>
      <c r="Q105" s="1">
        <v>27</v>
      </c>
      <c r="R105" s="2" cm="1">
        <f t="array" ref="R105">IF(AND(ISNUMBER(O105:Q105),SUM(O105:Q105)&lt;100),SUM(O105:Q105),"No Score")</f>
        <v>44</v>
      </c>
      <c r="S105" t="str" cm="1">
        <f t="array" ref="S105">_xlfn.IFS(AND(R105 &gt;=91,R105 &lt;=100),"A+",AND(R105 &gt;=71,R105 &lt;=90),"A",AND(R105 &gt;=61,R105 &lt;=70),"B",AND(R105 &gt;=51,R105 &lt;=60),"C",AND(R105 &gt;=40,R105 &lt;=50),"D",R105 &lt;40,"F",R105="No Score","No Grade",OR(R105&gt;100,R105&lt;0),"Invalid score")</f>
        <v>D</v>
      </c>
      <c r="T105" t="str" cm="1">
        <f t="array" ref="T105">_xlfn.IFS(S105="A+","Distinction",S105="A","Excellent", S105="B","Credit",S105="C","Very Good", S105="D","Good",S105="F","Poor",OR(S105="No Grade",S105="Invalid Score"),"No Remark")</f>
        <v>Good</v>
      </c>
    </row>
    <row r="106" spans="1:20" x14ac:dyDescent="0.2">
      <c r="A106" s="1" t="s">
        <v>341</v>
      </c>
      <c r="B106" s="7">
        <f t="shared" si="10"/>
        <v>45542.857835648145</v>
      </c>
      <c r="C106" s="8">
        <f t="shared" si="13"/>
        <v>45542.857835648145</v>
      </c>
      <c r="D106" s="9">
        <f t="shared" si="14"/>
        <v>0.85783564814482816</v>
      </c>
      <c r="E106" s="1" t="s">
        <v>229</v>
      </c>
      <c r="F106" s="1" t="s">
        <v>342</v>
      </c>
      <c r="G106" s="1" t="str">
        <f t="shared" si="15"/>
        <v>Timothy</v>
      </c>
      <c r="H106" s="1" t="s">
        <v>343</v>
      </c>
      <c r="I106" s="1" t="str">
        <f t="shared" si="16"/>
        <v>Peters</v>
      </c>
      <c r="J106" s="1" t="str">
        <f t="shared" si="11"/>
        <v>Timothy Peters</v>
      </c>
      <c r="K106" s="1" t="str">
        <f t="shared" si="12"/>
        <v>Unique</v>
      </c>
      <c r="L106" s="1" t="str">
        <f t="shared" si="19"/>
        <v>timothypeters@3mtt.com</v>
      </c>
      <c r="M106" s="1" t="s">
        <v>21</v>
      </c>
      <c r="N106" s="1" t="str">
        <f t="shared" si="18"/>
        <v>Male</v>
      </c>
      <c r="O106" s="1">
        <v>18</v>
      </c>
      <c r="P106" s="1">
        <v>14</v>
      </c>
      <c r="Q106" s="1">
        <v>50</v>
      </c>
      <c r="R106" s="2" cm="1">
        <f t="array" ref="R106">IF(AND(ISNUMBER(O106:Q106),SUM(O106:Q106)&lt;100),SUM(O106:Q106),"No Score")</f>
        <v>82</v>
      </c>
      <c r="S106" t="str" cm="1">
        <f t="array" ref="S106">_xlfn.IFS(AND(R106 &gt;=91,R106 &lt;=100),"A+",AND(R106 &gt;=71,R106 &lt;=90),"A",AND(R106 &gt;=61,R106 &lt;=70),"B",AND(R106 &gt;=51,R106 &lt;=60),"C",AND(R106 &gt;=40,R106 &lt;=50),"D",R106 &lt;40,"F",R106="No Score","No Grade",OR(R106&gt;100,R106&lt;0),"Invalid score")</f>
        <v>A</v>
      </c>
      <c r="T106" t="str" cm="1">
        <f t="array" ref="T106">_xlfn.IFS(S106="A+","Distinction",S106="A","Excellent", S106="B","Credit",S106="C","Very Good", S106="D","Good",S106="F","Poor",OR(S106="No Grade",S106="Invalid Score"),"No Remark")</f>
        <v>Excellent</v>
      </c>
    </row>
    <row r="107" spans="1:20" x14ac:dyDescent="0.2">
      <c r="A107" s="1" t="s">
        <v>344</v>
      </c>
      <c r="B107" s="7">
        <f t="shared" si="10"/>
        <v>45542.860127314816</v>
      </c>
      <c r="C107" s="8">
        <f t="shared" si="13"/>
        <v>45542.860127314816</v>
      </c>
      <c r="D107" s="9">
        <f t="shared" si="14"/>
        <v>0.86012731481605442</v>
      </c>
      <c r="E107" s="1" t="s">
        <v>229</v>
      </c>
      <c r="F107" s="1" t="s">
        <v>345</v>
      </c>
      <c r="G107" s="1" t="str">
        <f t="shared" si="15"/>
        <v>Lukeman</v>
      </c>
      <c r="H107" s="1" t="s">
        <v>346</v>
      </c>
      <c r="I107" s="1" t="str">
        <f t="shared" si="16"/>
        <v>Jonah</v>
      </c>
      <c r="J107" s="1" t="str">
        <f t="shared" si="11"/>
        <v>Lukeman Jonah</v>
      </c>
      <c r="K107" s="1" t="str">
        <f t="shared" si="12"/>
        <v>Unique</v>
      </c>
      <c r="L107" s="1" t="str">
        <f t="shared" si="19"/>
        <v>lukemanjonah@3mtt.com</v>
      </c>
      <c r="M107" s="1" t="s">
        <v>21</v>
      </c>
      <c r="N107" s="1" t="str">
        <f t="shared" si="18"/>
        <v>Male</v>
      </c>
      <c r="O107" s="1">
        <v>10</v>
      </c>
      <c r="P107" s="1">
        <v>19</v>
      </c>
      <c r="Q107" s="1">
        <v>55</v>
      </c>
      <c r="R107" s="2" cm="1">
        <f t="array" ref="R107">IF(AND(ISNUMBER(O107:Q107),SUM(O107:Q107)&lt;100),SUM(O107:Q107),"No Score")</f>
        <v>84</v>
      </c>
      <c r="S107" t="str" cm="1">
        <f t="array" ref="S107">_xlfn.IFS(AND(R107 &gt;=91,R107 &lt;=100),"A+",AND(R107 &gt;=71,R107 &lt;=90),"A",AND(R107 &gt;=61,R107 &lt;=70),"B",AND(R107 &gt;=51,R107 &lt;=60),"C",AND(R107 &gt;=40,R107 &lt;=50),"D",R107 &lt;40,"F",R107="No Score","No Grade",OR(R107&gt;100,R107&lt;0),"Invalid score")</f>
        <v>A</v>
      </c>
      <c r="T107" t="str" cm="1">
        <f t="array" ref="T107">_xlfn.IFS(S107="A+","Distinction",S107="A","Excellent", S107="B","Credit",S107="C","Very Good", S107="D","Good",S107="F","Poor",OR(S107="No Grade",S107="Invalid Score"),"No Remark")</f>
        <v>Excellent</v>
      </c>
    </row>
    <row r="108" spans="1:20" x14ac:dyDescent="0.2">
      <c r="A108" s="1" t="s">
        <v>347</v>
      </c>
      <c r="B108" s="7">
        <f t="shared" si="10"/>
        <v>45542.860752314817</v>
      </c>
      <c r="C108" s="8">
        <f t="shared" si="13"/>
        <v>45542.860752314817</v>
      </c>
      <c r="D108" s="9">
        <f t="shared" si="14"/>
        <v>0.8607523148166365</v>
      </c>
      <c r="E108" s="1" t="s">
        <v>229</v>
      </c>
      <c r="F108" s="1" t="s">
        <v>171</v>
      </c>
      <c r="G108" s="1" t="str">
        <f t="shared" si="15"/>
        <v>Mercy</v>
      </c>
      <c r="H108" s="1" t="s">
        <v>348</v>
      </c>
      <c r="I108" s="1" t="str">
        <f t="shared" si="16"/>
        <v>Bright</v>
      </c>
      <c r="J108" s="1" t="str">
        <f t="shared" si="11"/>
        <v>Mercy Bright</v>
      </c>
      <c r="K108" s="1" t="str">
        <f t="shared" si="12"/>
        <v>Unique</v>
      </c>
      <c r="L108" s="1" t="str">
        <f t="shared" si="19"/>
        <v>mercybright@3mtt.com</v>
      </c>
      <c r="M108" s="1" t="s">
        <v>12</v>
      </c>
      <c r="N108" s="1" t="str">
        <f t="shared" si="18"/>
        <v>Female</v>
      </c>
      <c r="O108" s="1">
        <v>12</v>
      </c>
      <c r="P108" s="1">
        <v>12</v>
      </c>
      <c r="Q108" s="1">
        <v>38</v>
      </c>
      <c r="R108" s="2" cm="1">
        <f t="array" ref="R108">IF(AND(ISNUMBER(O108:Q108),SUM(O108:Q108)&lt;100),SUM(O108:Q108),"No Score")</f>
        <v>62</v>
      </c>
      <c r="S108" t="str" cm="1">
        <f t="array" ref="S108">_xlfn.IFS(AND(R108 &gt;=91,R108 &lt;=100),"A+",AND(R108 &gt;=71,R108 &lt;=90),"A",AND(R108 &gt;=61,R108 &lt;=70),"B",AND(R108 &gt;=51,R108 &lt;=60),"C",AND(R108 &gt;=40,R108 &lt;=50),"D",R108 &lt;40,"F",R108="No Score","No Grade",OR(R108&gt;100,R108&lt;0),"Invalid score")</f>
        <v>B</v>
      </c>
      <c r="T108" t="str" cm="1">
        <f t="array" ref="T108">_xlfn.IFS(S108="A+","Distinction",S108="A","Excellent", S108="B","Credit",S108="C","Very Good", S108="D","Good",S108="F","Poor",OR(S108="No Grade",S108="Invalid Score"),"No Remark")</f>
        <v>Credit</v>
      </c>
    </row>
    <row r="109" spans="1:20" x14ac:dyDescent="0.2">
      <c r="A109" s="1" t="s">
        <v>349</v>
      </c>
      <c r="B109" s="7">
        <f t="shared" si="10"/>
        <v>45542.861597222225</v>
      </c>
      <c r="C109" s="8">
        <f t="shared" si="13"/>
        <v>45542.861597222225</v>
      </c>
      <c r="D109" s="9">
        <f t="shared" si="14"/>
        <v>0.86159722222510027</v>
      </c>
      <c r="E109" s="1" t="s">
        <v>229</v>
      </c>
      <c r="F109" s="1" t="s">
        <v>350</v>
      </c>
      <c r="G109" s="1" t="str">
        <f t="shared" si="15"/>
        <v>Tosin</v>
      </c>
      <c r="H109" s="1" t="s">
        <v>351</v>
      </c>
      <c r="I109" s="1" t="str">
        <f t="shared" si="16"/>
        <v>Adeleye</v>
      </c>
      <c r="J109" s="1" t="str">
        <f t="shared" si="11"/>
        <v>Tosin Adeleye</v>
      </c>
      <c r="K109" s="1" t="str">
        <f t="shared" si="12"/>
        <v>Unique</v>
      </c>
      <c r="L109" s="1" t="str">
        <f t="shared" si="19"/>
        <v>tosinadeleye@3mtt.com</v>
      </c>
      <c r="M109" s="1" t="s">
        <v>21</v>
      </c>
      <c r="N109" s="1" t="str">
        <f t="shared" si="18"/>
        <v>Male</v>
      </c>
      <c r="O109" s="1">
        <v>14</v>
      </c>
      <c r="P109" s="1">
        <v>17</v>
      </c>
      <c r="Q109" s="1">
        <v>40</v>
      </c>
      <c r="R109" s="2" cm="1">
        <f t="array" ref="R109">IF(AND(ISNUMBER(O109:Q109),SUM(O109:Q109)&lt;100),SUM(O109:Q109),"No Score")</f>
        <v>71</v>
      </c>
      <c r="S109" t="str" cm="1">
        <f t="array" ref="S109">_xlfn.IFS(AND(R109 &gt;=91,R109 &lt;=100),"A+",AND(R109 &gt;=71,R109 &lt;=90),"A",AND(R109 &gt;=61,R109 &lt;=70),"B",AND(R109 &gt;=51,R109 &lt;=60),"C",AND(R109 &gt;=40,R109 &lt;=50),"D",R109 &lt;40,"F",R109="No Score","No Grade",OR(R109&gt;100,R109&lt;0),"Invalid score")</f>
        <v>A</v>
      </c>
      <c r="T109" t="str" cm="1">
        <f t="array" ref="T109">_xlfn.IFS(S109="A+","Distinction",S109="A","Excellent", S109="B","Credit",S109="C","Very Good", S109="D","Good",S109="F","Poor",OR(S109="No Grade",S109="Invalid Score"),"No Remark")</f>
        <v>Excellent</v>
      </c>
    </row>
    <row r="110" spans="1:20" x14ac:dyDescent="0.2">
      <c r="A110" s="1" t="s">
        <v>352</v>
      </c>
      <c r="B110" s="7">
        <f t="shared" si="10"/>
        <v>45542.862708333334</v>
      </c>
      <c r="C110" s="8">
        <f t="shared" si="13"/>
        <v>45542.862708333334</v>
      </c>
      <c r="D110" s="9">
        <f t="shared" si="14"/>
        <v>0.86270833333401242</v>
      </c>
      <c r="E110" s="1" t="s">
        <v>229</v>
      </c>
      <c r="F110" s="1" t="s">
        <v>353</v>
      </c>
      <c r="G110" s="1" t="str">
        <f t="shared" si="15"/>
        <v>Dorcas</v>
      </c>
      <c r="H110" s="1" t="s">
        <v>52</v>
      </c>
      <c r="I110" s="1" t="str">
        <f t="shared" si="16"/>
        <v>David</v>
      </c>
      <c r="J110" s="1" t="str">
        <f t="shared" si="11"/>
        <v>Dorcas David</v>
      </c>
      <c r="K110" s="1" t="str">
        <f t="shared" si="12"/>
        <v>Unique</v>
      </c>
      <c r="L110" s="1" t="str">
        <f t="shared" si="19"/>
        <v>dorcasdavid@3mtt.com</v>
      </c>
      <c r="M110" s="1" t="s">
        <v>12</v>
      </c>
      <c r="N110" s="1" t="str">
        <f t="shared" si="18"/>
        <v>Female</v>
      </c>
      <c r="O110" s="1">
        <v>20</v>
      </c>
      <c r="P110" s="1">
        <v>18</v>
      </c>
      <c r="Q110" s="1">
        <v>60</v>
      </c>
      <c r="R110" s="2" cm="1">
        <f t="array" ref="R110">IF(AND(ISNUMBER(O110:Q110),SUM(O110:Q110)&lt;100),SUM(O110:Q110),"No Score")</f>
        <v>98</v>
      </c>
      <c r="S110" t="str" cm="1">
        <f t="array" ref="S110">_xlfn.IFS(AND(R110 &gt;=91,R110 &lt;=100),"A+",AND(R110 &gt;=71,R110 &lt;=90),"A",AND(R110 &gt;=61,R110 &lt;=70),"B",AND(R110 &gt;=51,R110 &lt;=60),"C",AND(R110 &gt;=40,R110 &lt;=50),"D",R110 &lt;40,"F",R110="No Score","No Grade",OR(R110&gt;100,R110&lt;0),"Invalid score")</f>
        <v>A+</v>
      </c>
      <c r="T110" t="str" cm="1">
        <f t="array" ref="T110">_xlfn.IFS(S110="A+","Distinction",S110="A","Excellent", S110="B","Credit",S110="C","Very Good", S110="D","Good",S110="F","Poor",OR(S110="No Grade",S110="Invalid Score"),"No Remark")</f>
        <v>Distinction</v>
      </c>
    </row>
    <row r="111" spans="1:20" x14ac:dyDescent="0.2">
      <c r="A111" s="1" t="s">
        <v>354</v>
      </c>
      <c r="B111" s="7">
        <f t="shared" si="10"/>
        <v>45542.865601851852</v>
      </c>
      <c r="C111" s="8">
        <f t="shared" si="13"/>
        <v>45542.865601851852</v>
      </c>
      <c r="D111" s="9">
        <f t="shared" si="14"/>
        <v>0.86560185185226146</v>
      </c>
      <c r="E111" s="1" t="s">
        <v>355</v>
      </c>
      <c r="F111" s="1" t="s">
        <v>154</v>
      </c>
      <c r="G111" s="1" t="str">
        <f t="shared" si="15"/>
        <v>John</v>
      </c>
      <c r="H111" s="1" t="s">
        <v>356</v>
      </c>
      <c r="I111" s="1" t="str">
        <f t="shared" si="16"/>
        <v>Mirabel</v>
      </c>
      <c r="J111" s="1" t="str">
        <f t="shared" si="11"/>
        <v>John Mirabel</v>
      </c>
      <c r="K111" s="1" t="str">
        <f t="shared" si="12"/>
        <v>Unique</v>
      </c>
      <c r="L111" s="1" t="str">
        <f t="shared" si="19"/>
        <v>johnmirabel@3mtt.com</v>
      </c>
      <c r="M111" s="1" t="s">
        <v>17</v>
      </c>
      <c r="N111" s="1" t="str">
        <f t="shared" si="18"/>
        <v xml:space="preserve">Female </v>
      </c>
      <c r="O111" s="1">
        <v>12</v>
      </c>
      <c r="P111" s="1">
        <v>14</v>
      </c>
      <c r="Q111" s="1">
        <v>43</v>
      </c>
      <c r="R111" s="2" cm="1">
        <f t="array" ref="R111">IF(AND(ISNUMBER(O111:Q111),SUM(O111:Q111)&lt;100),SUM(O111:Q111),"No Score")</f>
        <v>69</v>
      </c>
      <c r="S111" t="str" cm="1">
        <f t="array" ref="S111">_xlfn.IFS(AND(R111 &gt;=91,R111 &lt;=100),"A+",AND(R111 &gt;=71,R111 &lt;=90),"A",AND(R111 &gt;=61,R111 &lt;=70),"B",AND(R111 &gt;=51,R111 &lt;=60),"C",AND(R111 &gt;=40,R111 &lt;=50),"D",R111 &lt;40,"F",R111="No Score","No Grade",OR(R111&gt;100,R111&lt;0),"Invalid score")</f>
        <v>B</v>
      </c>
      <c r="T111" t="str" cm="1">
        <f t="array" ref="T111">_xlfn.IFS(S111="A+","Distinction",S111="A","Excellent", S111="B","Credit",S111="C","Very Good", S111="D","Good",S111="F","Poor",OR(S111="No Grade",S111="Invalid Score"),"No Remark")</f>
        <v>Credit</v>
      </c>
    </row>
    <row r="112" spans="1:20" x14ac:dyDescent="0.2">
      <c r="A112" s="1" t="s">
        <v>357</v>
      </c>
      <c r="B112" s="7">
        <f t="shared" si="10"/>
        <v>45542.866331018522</v>
      </c>
      <c r="C112" s="8">
        <f t="shared" si="13"/>
        <v>45542.866331018522</v>
      </c>
      <c r="D112" s="9">
        <f t="shared" si="14"/>
        <v>0.86633101852203254</v>
      </c>
      <c r="E112" s="1" t="s">
        <v>355</v>
      </c>
      <c r="F112" s="1" t="s">
        <v>358</v>
      </c>
      <c r="G112" s="1" t="str">
        <f t="shared" si="15"/>
        <v>Dediwura</v>
      </c>
      <c r="H112" s="1" t="s">
        <v>359</v>
      </c>
      <c r="I112" s="1" t="str">
        <f t="shared" si="16"/>
        <v>Olawoye</v>
      </c>
      <c r="J112" s="1" t="str">
        <f t="shared" si="11"/>
        <v>Dediwura Olawoye</v>
      </c>
      <c r="K112" s="1" t="str">
        <f t="shared" si="12"/>
        <v>Unique</v>
      </c>
      <c r="L112" s="1" t="str">
        <f t="shared" si="19"/>
        <v>dediwuraolawoye@3mtt.com</v>
      </c>
      <c r="M112" s="1" t="s">
        <v>21</v>
      </c>
      <c r="N112" s="1" t="str">
        <f t="shared" si="18"/>
        <v>Male</v>
      </c>
      <c r="O112" s="1">
        <v>16</v>
      </c>
      <c r="P112" s="1">
        <v>11</v>
      </c>
      <c r="Q112" s="1">
        <v>51</v>
      </c>
      <c r="R112" s="2" cm="1">
        <f t="array" ref="R112">IF(AND(ISNUMBER(O112:Q112),SUM(O112:Q112)&lt;100),SUM(O112:Q112),"No Score")</f>
        <v>78</v>
      </c>
      <c r="S112" t="str" cm="1">
        <f t="array" ref="S112">_xlfn.IFS(AND(R112 &gt;=91,R112 &lt;=100),"A+",AND(R112 &gt;=71,R112 &lt;=90),"A",AND(R112 &gt;=61,R112 &lt;=70),"B",AND(R112 &gt;=51,R112 &lt;=60),"C",AND(R112 &gt;=40,R112 &lt;=50),"D",R112 &lt;40,"F",R112="No Score","No Grade",OR(R112&gt;100,R112&lt;0),"Invalid score")</f>
        <v>A</v>
      </c>
      <c r="T112" t="str" cm="1">
        <f t="array" ref="T112">_xlfn.IFS(S112="A+","Distinction",S112="A","Excellent", S112="B","Credit",S112="C","Very Good", S112="D","Good",S112="F","Poor",OR(S112="No Grade",S112="Invalid Score"),"No Remark")</f>
        <v>Excellent</v>
      </c>
    </row>
    <row r="113" spans="1:20" x14ac:dyDescent="0.2">
      <c r="A113" s="1" t="s">
        <v>360</v>
      </c>
      <c r="B113" s="7">
        <f t="shared" si="10"/>
        <v>45542.867604166669</v>
      </c>
      <c r="C113" s="8">
        <f t="shared" si="13"/>
        <v>45542.867604166669</v>
      </c>
      <c r="D113" s="9">
        <f t="shared" si="14"/>
        <v>0.86760416666948004</v>
      </c>
      <c r="E113" s="1" t="s">
        <v>361</v>
      </c>
      <c r="F113" s="1" t="s">
        <v>362</v>
      </c>
      <c r="G113" s="1" t="str">
        <f t="shared" si="15"/>
        <v>Sani</v>
      </c>
      <c r="H113" s="1" t="s">
        <v>363</v>
      </c>
      <c r="I113" s="1" t="str">
        <f t="shared" si="16"/>
        <v>Tinubu</v>
      </c>
      <c r="J113" s="1" t="str">
        <f t="shared" si="11"/>
        <v>Sani Tinubu</v>
      </c>
      <c r="K113" s="1" t="str">
        <f t="shared" si="12"/>
        <v>Unique</v>
      </c>
      <c r="L113" s="1" t="str">
        <f t="shared" si="19"/>
        <v>sanitinubu@3mtt.com</v>
      </c>
      <c r="M113" s="1" t="s">
        <v>53</v>
      </c>
      <c r="N113" s="1" t="str">
        <f t="shared" si="18"/>
        <v xml:space="preserve">Male </v>
      </c>
      <c r="O113" s="1">
        <v>15</v>
      </c>
      <c r="P113" s="1">
        <v>15</v>
      </c>
      <c r="Q113" s="1">
        <v>45</v>
      </c>
      <c r="R113" s="2" cm="1">
        <f t="array" ref="R113">IF(AND(ISNUMBER(O113:Q113),SUM(O113:Q113)&lt;100),SUM(O113:Q113),"No Score")</f>
        <v>75</v>
      </c>
      <c r="S113" t="str" cm="1">
        <f t="array" ref="S113">_xlfn.IFS(AND(R113 &gt;=91,R113 &lt;=100),"A+",AND(R113 &gt;=71,R113 &lt;=90),"A",AND(R113 &gt;=61,R113 &lt;=70),"B",AND(R113 &gt;=51,R113 &lt;=60),"C",AND(R113 &gt;=40,R113 &lt;=50),"D",R113 &lt;40,"F",R113="No Score","No Grade",OR(R113&gt;100,R113&lt;0),"Invalid score")</f>
        <v>A</v>
      </c>
      <c r="T113" t="str" cm="1">
        <f t="array" ref="T113">_xlfn.IFS(S113="A+","Distinction",S113="A","Excellent", S113="B","Credit",S113="C","Very Good", S113="D","Good",S113="F","Poor",OR(S113="No Grade",S113="Invalid Score"),"No Remark")</f>
        <v>Excellent</v>
      </c>
    </row>
    <row r="114" spans="1:20" x14ac:dyDescent="0.2">
      <c r="A114" s="1" t="s">
        <v>364</v>
      </c>
      <c r="B114" s="7">
        <f t="shared" si="10"/>
        <v>45542.868263888886</v>
      </c>
      <c r="C114" s="8">
        <f t="shared" si="13"/>
        <v>45542.868263888886</v>
      </c>
      <c r="D114" s="9">
        <f t="shared" si="14"/>
        <v>0.86826388888584916</v>
      </c>
      <c r="E114" s="1" t="s">
        <v>361</v>
      </c>
      <c r="F114" s="1" t="s">
        <v>365</v>
      </c>
      <c r="G114" s="1" t="str">
        <f t="shared" si="15"/>
        <v>Bola</v>
      </c>
      <c r="H114" s="1" t="s">
        <v>366</v>
      </c>
      <c r="I114" s="1" t="str">
        <f t="shared" si="16"/>
        <v>Buhari</v>
      </c>
      <c r="J114" s="1" t="str">
        <f t="shared" si="11"/>
        <v>Bola Buhari</v>
      </c>
      <c r="K114" s="1" t="str">
        <f t="shared" si="12"/>
        <v>Unique</v>
      </c>
      <c r="L114" s="1" t="str">
        <f t="shared" si="19"/>
        <v>bolabuhari@3mtt.com</v>
      </c>
      <c r="M114" s="1" t="s">
        <v>21</v>
      </c>
      <c r="N114" s="1" t="str">
        <f t="shared" si="18"/>
        <v>Male</v>
      </c>
      <c r="O114" s="1">
        <v>20</v>
      </c>
      <c r="P114" s="1">
        <v>10</v>
      </c>
      <c r="Q114" s="1">
        <v>50</v>
      </c>
      <c r="R114" s="2" cm="1">
        <f t="array" ref="R114">IF(AND(ISNUMBER(O114:Q114),SUM(O114:Q114)&lt;100),SUM(O114:Q114),"No Score")</f>
        <v>80</v>
      </c>
      <c r="S114" t="str" cm="1">
        <f t="array" ref="S114">_xlfn.IFS(AND(R114 &gt;=91,R114 &lt;=100),"A+",AND(R114 &gt;=71,R114 &lt;=90),"A",AND(R114 &gt;=61,R114 &lt;=70),"B",AND(R114 &gt;=51,R114 &lt;=60),"C",AND(R114 &gt;=40,R114 &lt;=50),"D",R114 &lt;40,"F",R114="No Score","No Grade",OR(R114&gt;100,R114&lt;0),"Invalid score")</f>
        <v>A</v>
      </c>
      <c r="T114" t="str" cm="1">
        <f t="array" ref="T114">_xlfn.IFS(S114="A+","Distinction",S114="A","Excellent", S114="B","Credit",S114="C","Very Good", S114="D","Good",S114="F","Poor",OR(S114="No Grade",S114="Invalid Score"),"No Remark")</f>
        <v>Excellent</v>
      </c>
    </row>
    <row r="115" spans="1:20" x14ac:dyDescent="0.2">
      <c r="A115" s="1" t="s">
        <v>367</v>
      </c>
      <c r="B115" s="7">
        <f t="shared" si="10"/>
        <v>45542.868819444448</v>
      </c>
      <c r="C115" s="8">
        <f t="shared" si="13"/>
        <v>45542.868819444448</v>
      </c>
      <c r="D115" s="9">
        <f t="shared" si="14"/>
        <v>0.86881944444758119</v>
      </c>
      <c r="E115" s="1" t="s">
        <v>361</v>
      </c>
      <c r="F115" s="1" t="s">
        <v>368</v>
      </c>
      <c r="G115" s="1" t="str">
        <f t="shared" si="15"/>
        <v>Tolu</v>
      </c>
      <c r="H115" s="1" t="s">
        <v>369</v>
      </c>
      <c r="I115" s="1" t="str">
        <f t="shared" si="16"/>
        <v>Adeyemi</v>
      </c>
      <c r="J115" s="1" t="str">
        <f t="shared" si="11"/>
        <v>Tolu Adeyemi</v>
      </c>
      <c r="K115" s="1" t="str">
        <f t="shared" si="12"/>
        <v>Unique</v>
      </c>
      <c r="L115" s="1" t="str">
        <f t="shared" si="19"/>
        <v>toluadeyemi@3mtt.com</v>
      </c>
      <c r="M115" s="1" t="s">
        <v>12</v>
      </c>
      <c r="N115" s="1" t="str">
        <f t="shared" si="18"/>
        <v>Female</v>
      </c>
      <c r="O115" s="1">
        <v>17</v>
      </c>
      <c r="P115" s="1">
        <v>18</v>
      </c>
      <c r="Q115" s="1">
        <v>49</v>
      </c>
      <c r="R115" s="2" cm="1">
        <f t="array" ref="R115">IF(AND(ISNUMBER(O115:Q115),SUM(O115:Q115)&lt;100),SUM(O115:Q115),"No Score")</f>
        <v>84</v>
      </c>
      <c r="S115" t="str" cm="1">
        <f t="array" ref="S115">_xlfn.IFS(AND(R115 &gt;=91,R115 &lt;=100),"A+",AND(R115 &gt;=71,R115 &lt;=90),"A",AND(R115 &gt;=61,R115 &lt;=70),"B",AND(R115 &gt;=51,R115 &lt;=60),"C",AND(R115 &gt;=40,R115 &lt;=50),"D",R115 &lt;40,"F",R115="No Score","No Grade",OR(R115&gt;100,R115&lt;0),"Invalid score")</f>
        <v>A</v>
      </c>
      <c r="T115" t="str" cm="1">
        <f t="array" ref="T115">_xlfn.IFS(S115="A+","Distinction",S115="A","Excellent", S115="B","Credit",S115="C","Very Good", S115="D","Good",S115="F","Poor",OR(S115="No Grade",S115="Invalid Score"),"No Remark")</f>
        <v>Excellent</v>
      </c>
    </row>
    <row r="116" spans="1:20" x14ac:dyDescent="0.2">
      <c r="A116" s="1" t="s">
        <v>370</v>
      </c>
      <c r="B116" s="7">
        <f t="shared" si="10"/>
        <v>45542.869409722225</v>
      </c>
      <c r="C116" s="8">
        <f t="shared" si="13"/>
        <v>45542.869409722225</v>
      </c>
      <c r="D116" s="9">
        <f t="shared" si="14"/>
        <v>0.86940972222510027</v>
      </c>
      <c r="E116" s="1" t="s">
        <v>361</v>
      </c>
      <c r="F116" s="1" t="s">
        <v>371</v>
      </c>
      <c r="G116" s="1" t="str">
        <f t="shared" si="15"/>
        <v>Hadiza</v>
      </c>
      <c r="H116" s="1" t="s">
        <v>372</v>
      </c>
      <c r="I116" s="1" t="str">
        <f t="shared" si="16"/>
        <v>Bala</v>
      </c>
      <c r="J116" s="1" t="str">
        <f t="shared" si="11"/>
        <v>Hadiza Bala</v>
      </c>
      <c r="K116" s="1" t="str">
        <f t="shared" si="12"/>
        <v>Unique</v>
      </c>
      <c r="L116" s="1" t="str">
        <f t="shared" si="19"/>
        <v>hadizabala@3mtt.com</v>
      </c>
      <c r="M116" s="1" t="s">
        <v>12</v>
      </c>
      <c r="N116" s="1" t="str">
        <f t="shared" si="18"/>
        <v>Female</v>
      </c>
      <c r="O116" s="1">
        <v>16</v>
      </c>
      <c r="P116" s="1">
        <v>19</v>
      </c>
      <c r="Q116" s="1">
        <v>53</v>
      </c>
      <c r="R116" s="2" cm="1">
        <f t="array" ref="R116">IF(AND(ISNUMBER(O116:Q116),SUM(O116:Q116)&lt;100),SUM(O116:Q116),"No Score")</f>
        <v>88</v>
      </c>
      <c r="S116" t="str" cm="1">
        <f t="array" ref="S116">_xlfn.IFS(AND(R116 &gt;=91,R116 &lt;=100),"A+",AND(R116 &gt;=71,R116 &lt;=90),"A",AND(R116 &gt;=61,R116 &lt;=70),"B",AND(R116 &gt;=51,R116 &lt;=60),"C",AND(R116 &gt;=40,R116 &lt;=50),"D",R116 &lt;40,"F",R116="No Score","No Grade",OR(R116&gt;100,R116&lt;0),"Invalid score")</f>
        <v>A</v>
      </c>
      <c r="T116" t="str" cm="1">
        <f t="array" ref="T116">_xlfn.IFS(S116="A+","Distinction",S116="A","Excellent", S116="B","Credit",S116="C","Very Good", S116="D","Good",S116="F","Poor",OR(S116="No Grade",S116="Invalid Score"),"No Remark")</f>
        <v>Excellent</v>
      </c>
    </row>
    <row r="117" spans="1:20" x14ac:dyDescent="0.2">
      <c r="A117" s="1" t="s">
        <v>373</v>
      </c>
      <c r="B117" s="7">
        <f t="shared" si="10"/>
        <v>45542.869884259257</v>
      </c>
      <c r="C117" s="8">
        <f t="shared" si="13"/>
        <v>45542.869884259257</v>
      </c>
      <c r="D117" s="9">
        <f t="shared" si="14"/>
        <v>0.86988425925665069</v>
      </c>
      <c r="E117" s="1" t="s">
        <v>361</v>
      </c>
      <c r="F117" s="1" t="s">
        <v>374</v>
      </c>
      <c r="G117" s="1" t="str">
        <f t="shared" si="15"/>
        <v>Joy</v>
      </c>
      <c r="H117" s="1" t="s">
        <v>159</v>
      </c>
      <c r="I117" s="1" t="str">
        <f t="shared" si="16"/>
        <v>James</v>
      </c>
      <c r="J117" s="1" t="str">
        <f t="shared" si="11"/>
        <v>Joy James</v>
      </c>
      <c r="K117" s="1" t="str">
        <f t="shared" si="12"/>
        <v>Unique</v>
      </c>
      <c r="L117" s="1" t="str">
        <f t="shared" si="19"/>
        <v>joyjames@3mtt.com</v>
      </c>
      <c r="M117" s="1" t="s">
        <v>12</v>
      </c>
      <c r="N117" s="1" t="str">
        <f t="shared" si="18"/>
        <v>Female</v>
      </c>
      <c r="O117" s="1">
        <v>12</v>
      </c>
      <c r="P117" s="1">
        <v>12</v>
      </c>
      <c r="Q117" s="1">
        <v>45</v>
      </c>
      <c r="R117" s="2" cm="1">
        <f t="array" ref="R117">IF(AND(ISNUMBER(O117:Q117),SUM(O117:Q117)&lt;100),SUM(O117:Q117),"No Score")</f>
        <v>69</v>
      </c>
      <c r="S117" t="str" cm="1">
        <f t="array" ref="S117">_xlfn.IFS(AND(R117 &gt;=91,R117 &lt;=100),"A+",AND(R117 &gt;=71,R117 &lt;=90),"A",AND(R117 &gt;=61,R117 &lt;=70),"B",AND(R117 &gt;=51,R117 &lt;=60),"C",AND(R117 &gt;=40,R117 &lt;=50),"D",R117 &lt;40,"F",R117="No Score","No Grade",OR(R117&gt;100,R117&lt;0),"Invalid score")</f>
        <v>B</v>
      </c>
      <c r="T117" t="str" cm="1">
        <f t="array" ref="T117">_xlfn.IFS(S117="A+","Distinction",S117="A","Excellent", S117="B","Credit",S117="C","Very Good", S117="D","Good",S117="F","Poor",OR(S117="No Grade",S117="Invalid Score"),"No Remark")</f>
        <v>Credit</v>
      </c>
    </row>
    <row r="118" spans="1:20" x14ac:dyDescent="0.2">
      <c r="A118" s="1" t="s">
        <v>375</v>
      </c>
      <c r="B118" s="7">
        <f t="shared" si="10"/>
        <v>45542.887118055558</v>
      </c>
      <c r="C118" s="8">
        <f t="shared" si="13"/>
        <v>45542.887118055558</v>
      </c>
      <c r="D118" s="9">
        <f t="shared" si="14"/>
        <v>0.88711805555794854</v>
      </c>
      <c r="E118" s="1" t="s">
        <v>376</v>
      </c>
      <c r="F118" s="1" t="s">
        <v>377</v>
      </c>
      <c r="G118" s="1" t="str">
        <f t="shared" si="15"/>
        <v>Bilkisu</v>
      </c>
      <c r="H118" s="1" t="s">
        <v>378</v>
      </c>
      <c r="I118" s="1" t="str">
        <f t="shared" si="16"/>
        <v>Yusuf</v>
      </c>
      <c r="J118" s="1" t="str">
        <f t="shared" si="11"/>
        <v>Bilkisu Yusuf</v>
      </c>
      <c r="K118" s="1" t="str">
        <f t="shared" si="12"/>
        <v>Unique</v>
      </c>
      <c r="L118" s="1" t="str">
        <f t="shared" si="19"/>
        <v>bilkisuyusuf@3mtt.com</v>
      </c>
      <c r="M118" s="1" t="s">
        <v>12</v>
      </c>
      <c r="N118" s="1" t="str">
        <f t="shared" si="18"/>
        <v>Female</v>
      </c>
      <c r="O118" s="1">
        <v>19</v>
      </c>
      <c r="P118" s="1">
        <v>20</v>
      </c>
      <c r="Q118" s="1">
        <v>57</v>
      </c>
      <c r="R118" s="2" cm="1">
        <f t="array" ref="R118">IF(AND(ISNUMBER(O118:Q118),SUM(O118:Q118)&lt;100),SUM(O118:Q118),"No Score")</f>
        <v>96</v>
      </c>
      <c r="S118" t="str" cm="1">
        <f t="array" ref="S118">_xlfn.IFS(AND(R118 &gt;=91,R118 &lt;=100),"A+",AND(R118 &gt;=71,R118 &lt;=90),"A",AND(R118 &gt;=61,R118 &lt;=70),"B",AND(R118 &gt;=51,R118 &lt;=60),"C",AND(R118 &gt;=40,R118 &lt;=50),"D",R118 &lt;40,"F",R118="No Score","No Grade",OR(R118&gt;100,R118&lt;0),"Invalid score")</f>
        <v>A+</v>
      </c>
      <c r="T118" t="str" cm="1">
        <f t="array" ref="T118">_xlfn.IFS(S118="A+","Distinction",S118="A","Excellent", S118="B","Credit",S118="C","Very Good", S118="D","Good",S118="F","Poor",OR(S118="No Grade",S118="Invalid Score"),"No Remark")</f>
        <v>Distinction</v>
      </c>
    </row>
    <row r="119" spans="1:20" x14ac:dyDescent="0.2">
      <c r="A119" s="1" t="s">
        <v>379</v>
      </c>
      <c r="B119" s="7">
        <f t="shared" si="10"/>
        <v>45542.887685185182</v>
      </c>
      <c r="C119" s="8">
        <f t="shared" si="13"/>
        <v>45542.887685185182</v>
      </c>
      <c r="D119" s="9">
        <f t="shared" si="14"/>
        <v>0.88768518518190831</v>
      </c>
      <c r="E119" s="1" t="s">
        <v>376</v>
      </c>
      <c r="F119" s="1" t="s">
        <v>380</v>
      </c>
      <c r="G119" s="1" t="str">
        <f t="shared" si="15"/>
        <v>Maryam</v>
      </c>
      <c r="H119" s="1" t="s">
        <v>381</v>
      </c>
      <c r="I119" s="1" t="str">
        <f t="shared" si="16"/>
        <v>Sambo</v>
      </c>
      <c r="J119" s="1" t="str">
        <f t="shared" si="11"/>
        <v>Maryam Sambo</v>
      </c>
      <c r="K119" s="1" t="str">
        <f t="shared" si="12"/>
        <v>Unique</v>
      </c>
      <c r="L119" s="1" t="str">
        <f t="shared" si="19"/>
        <v>maryamsambo@3mtt.com</v>
      </c>
      <c r="M119" s="1" t="s">
        <v>12</v>
      </c>
      <c r="N119" s="1" t="str">
        <f t="shared" si="18"/>
        <v>Female</v>
      </c>
      <c r="O119" s="1">
        <v>12</v>
      </c>
      <c r="P119" s="1">
        <v>14</v>
      </c>
      <c r="Q119" s="1">
        <v>45</v>
      </c>
      <c r="R119" s="2" cm="1">
        <f t="array" ref="R119">IF(AND(ISNUMBER(O119:Q119),SUM(O119:Q119)&lt;100),SUM(O119:Q119),"No Score")</f>
        <v>71</v>
      </c>
      <c r="S119" t="str" cm="1">
        <f t="array" ref="S119">_xlfn.IFS(AND(R119 &gt;=91,R119 &lt;=100),"A+",AND(R119 &gt;=71,R119 &lt;=90),"A",AND(R119 &gt;=61,R119 &lt;=70),"B",AND(R119 &gt;=51,R119 &lt;=60),"C",AND(R119 &gt;=40,R119 &lt;=50),"D",R119 &lt;40,"F",R119="No Score","No Grade",OR(R119&gt;100,R119&lt;0),"Invalid score")</f>
        <v>A</v>
      </c>
      <c r="T119" t="str" cm="1">
        <f t="array" ref="T119">_xlfn.IFS(S119="A+","Distinction",S119="A","Excellent", S119="B","Credit",S119="C","Very Good", S119="D","Good",S119="F","Poor",OR(S119="No Grade",S119="Invalid Score"),"No Remark")</f>
        <v>Excellent</v>
      </c>
    </row>
    <row r="120" spans="1:20" x14ac:dyDescent="0.2">
      <c r="A120" s="1" t="s">
        <v>382</v>
      </c>
      <c r="B120" s="7">
        <f t="shared" si="10"/>
        <v>45542.888136574074</v>
      </c>
      <c r="C120" s="8">
        <f t="shared" si="13"/>
        <v>45542.888136574074</v>
      </c>
      <c r="D120" s="9">
        <f t="shared" si="14"/>
        <v>0.88813657407445135</v>
      </c>
      <c r="E120" s="1" t="s">
        <v>376</v>
      </c>
      <c r="F120" s="1" t="s">
        <v>380</v>
      </c>
      <c r="G120" s="1" t="str">
        <f t="shared" si="15"/>
        <v>Maryam</v>
      </c>
      <c r="H120" s="1" t="s">
        <v>383</v>
      </c>
      <c r="I120" s="1" t="str">
        <f t="shared" si="16"/>
        <v>Dambo</v>
      </c>
      <c r="J120" s="1" t="str">
        <f t="shared" si="11"/>
        <v>Maryam Dambo</v>
      </c>
      <c r="K120" s="1" t="str">
        <f t="shared" si="12"/>
        <v>Unique</v>
      </c>
      <c r="L120" s="1" t="str">
        <f t="shared" si="19"/>
        <v>maryamdambo@3mtt.com</v>
      </c>
      <c r="M120" s="1" t="s">
        <v>12</v>
      </c>
      <c r="N120" s="1" t="str">
        <f t="shared" si="18"/>
        <v>Female</v>
      </c>
      <c r="O120" s="1">
        <v>12</v>
      </c>
      <c r="P120" s="1">
        <v>14</v>
      </c>
      <c r="Q120" s="1">
        <v>45</v>
      </c>
      <c r="R120" s="2" cm="1">
        <f t="array" ref="R120">IF(AND(ISNUMBER(O120:Q120),SUM(O120:Q120)&lt;100),SUM(O120:Q120),"No Score")</f>
        <v>71</v>
      </c>
      <c r="S120" t="str" cm="1">
        <f t="array" ref="S120">_xlfn.IFS(AND(R120 &gt;=91,R120 &lt;=100),"A+",AND(R120 &gt;=71,R120 &lt;=90),"A",AND(R120 &gt;=61,R120 &lt;=70),"B",AND(R120 &gt;=51,R120 &lt;=60),"C",AND(R120 &gt;=40,R120 &lt;=50),"D",R120 &lt;40,"F",R120="No Score","No Grade",OR(R120&gt;100,R120&lt;0),"Invalid score")</f>
        <v>A</v>
      </c>
      <c r="T120" t="str" cm="1">
        <f t="array" ref="T120">_xlfn.IFS(S120="A+","Distinction",S120="A","Excellent", S120="B","Credit",S120="C","Very Good", S120="D","Good",S120="F","Poor",OR(S120="No Grade",S120="Invalid Score"),"No Remark")</f>
        <v>Excellent</v>
      </c>
    </row>
    <row r="121" spans="1:20" x14ac:dyDescent="0.2">
      <c r="A121" s="1" t="s">
        <v>384</v>
      </c>
      <c r="B121" s="7">
        <f t="shared" si="10"/>
        <v>45542.888483796298</v>
      </c>
      <c r="C121" s="8">
        <f t="shared" si="13"/>
        <v>45542.888483796298</v>
      </c>
      <c r="D121" s="9">
        <f t="shared" si="14"/>
        <v>0.88848379629780538</v>
      </c>
      <c r="E121" s="1" t="s">
        <v>376</v>
      </c>
      <c r="F121" s="1" t="s">
        <v>385</v>
      </c>
      <c r="G121" s="1" t="str">
        <f t="shared" si="15"/>
        <v>Sadiq</v>
      </c>
      <c r="H121" s="1" t="s">
        <v>386</v>
      </c>
      <c r="I121" s="1" t="str">
        <f t="shared" si="16"/>
        <v>Nasir</v>
      </c>
      <c r="J121" s="1" t="str">
        <f t="shared" si="11"/>
        <v>Sadiq Nasir</v>
      </c>
      <c r="K121" s="1" t="str">
        <f t="shared" si="12"/>
        <v>Unique</v>
      </c>
      <c r="L121" s="1" t="str">
        <f t="shared" si="19"/>
        <v>sadiqnasir@3mtt.com</v>
      </c>
      <c r="M121" s="1" t="s">
        <v>21</v>
      </c>
      <c r="N121" s="1" t="str">
        <f t="shared" si="18"/>
        <v>Male</v>
      </c>
      <c r="O121" s="1">
        <v>18</v>
      </c>
      <c r="P121" s="1">
        <v>15</v>
      </c>
      <c r="Q121" s="1">
        <v>49</v>
      </c>
      <c r="R121" s="2" cm="1">
        <f t="array" ref="R121">IF(AND(ISNUMBER(O121:Q121),SUM(O121:Q121)&lt;100),SUM(O121:Q121),"No Score")</f>
        <v>82</v>
      </c>
      <c r="S121" t="str" cm="1">
        <f t="array" ref="S121">_xlfn.IFS(AND(R121 &gt;=91,R121 &lt;=100),"A+",AND(R121 &gt;=71,R121 &lt;=90),"A",AND(R121 &gt;=61,R121 &lt;=70),"B",AND(R121 &gt;=51,R121 &lt;=60),"C",AND(R121 &gt;=40,R121 &lt;=50),"D",R121 &lt;40,"F",R121="No Score","No Grade",OR(R121&gt;100,R121&lt;0),"Invalid score")</f>
        <v>A</v>
      </c>
      <c r="T121" t="str" cm="1">
        <f t="array" ref="T121">_xlfn.IFS(S121="A+","Distinction",S121="A","Excellent", S121="B","Credit",S121="C","Very Good", S121="D","Good",S121="F","Poor",OR(S121="No Grade",S121="Invalid Score"),"No Remark")</f>
        <v>Excellent</v>
      </c>
    </row>
    <row r="122" spans="1:20" x14ac:dyDescent="0.2">
      <c r="A122" s="1" t="s">
        <v>387</v>
      </c>
      <c r="B122" s="7">
        <f t="shared" si="10"/>
        <v>45542.888969907406</v>
      </c>
      <c r="C122" s="8">
        <f t="shared" si="13"/>
        <v>45542.888969907406</v>
      </c>
      <c r="D122" s="9">
        <f t="shared" si="14"/>
        <v>0.88896990740613546</v>
      </c>
      <c r="E122" s="1" t="s">
        <v>376</v>
      </c>
      <c r="F122" s="1" t="s">
        <v>136</v>
      </c>
      <c r="G122" s="1" t="str">
        <f t="shared" si="15"/>
        <v>Obi</v>
      </c>
      <c r="H122" s="1" t="s">
        <v>52</v>
      </c>
      <c r="I122" s="1" t="str">
        <f t="shared" si="16"/>
        <v>David</v>
      </c>
      <c r="J122" s="1" t="str">
        <f t="shared" si="11"/>
        <v>Obi David</v>
      </c>
      <c r="K122" s="1" t="str">
        <f t="shared" si="12"/>
        <v>Unique</v>
      </c>
      <c r="L122" s="1" t="str">
        <f t="shared" si="19"/>
        <v>obidavid@3mtt.com</v>
      </c>
      <c r="M122" s="1" t="s">
        <v>21</v>
      </c>
      <c r="N122" s="1" t="str">
        <f t="shared" si="18"/>
        <v>Male</v>
      </c>
      <c r="O122" s="1">
        <v>13</v>
      </c>
      <c r="P122" s="1">
        <v>15</v>
      </c>
      <c r="Q122" s="1">
        <v>52</v>
      </c>
      <c r="R122" s="2" cm="1">
        <f t="array" ref="R122">IF(AND(ISNUMBER(O122:Q122),SUM(O122:Q122)&lt;100),SUM(O122:Q122),"No Score")</f>
        <v>80</v>
      </c>
      <c r="S122" t="str" cm="1">
        <f t="array" ref="S122">_xlfn.IFS(AND(R122 &gt;=91,R122 &lt;=100),"A+",AND(R122 &gt;=71,R122 &lt;=90),"A",AND(R122 &gt;=61,R122 &lt;=70),"B",AND(R122 &gt;=51,R122 &lt;=60),"C",AND(R122 &gt;=40,R122 &lt;=50),"D",R122 &lt;40,"F",R122="No Score","No Grade",OR(R122&gt;100,R122&lt;0),"Invalid score")</f>
        <v>A</v>
      </c>
      <c r="T122" t="str" cm="1">
        <f t="array" ref="T122">_xlfn.IFS(S122="A+","Distinction",S122="A","Excellent", S122="B","Credit",S122="C","Very Good", S122="D","Good",S122="F","Poor",OR(S122="No Grade",S122="Invalid Score"),"No Remark")</f>
        <v>Excellent</v>
      </c>
    </row>
    <row r="123" spans="1:20" x14ac:dyDescent="0.2">
      <c r="A123" s="1" t="s">
        <v>388</v>
      </c>
      <c r="B123" s="7">
        <f t="shared" si="10"/>
        <v>45542.889421296299</v>
      </c>
      <c r="C123" s="8">
        <f t="shared" si="13"/>
        <v>45542.889421296299</v>
      </c>
      <c r="D123" s="9">
        <f t="shared" si="14"/>
        <v>0.8894212962986785</v>
      </c>
      <c r="E123" s="1" t="s">
        <v>376</v>
      </c>
      <c r="F123" s="1" t="s">
        <v>389</v>
      </c>
      <c r="G123" s="1" t="str">
        <f t="shared" si="15"/>
        <v>Glori</v>
      </c>
      <c r="H123" s="1" t="s">
        <v>390</v>
      </c>
      <c r="I123" s="1" t="str">
        <f t="shared" si="16"/>
        <v>Zak</v>
      </c>
      <c r="J123" s="1" t="str">
        <f t="shared" si="11"/>
        <v>Glori Zak</v>
      </c>
      <c r="K123" s="1" t="str">
        <f t="shared" si="12"/>
        <v>Unique</v>
      </c>
      <c r="L123" s="1" t="str">
        <f t="shared" si="19"/>
        <v>glorizak@3mtt.com</v>
      </c>
      <c r="M123" s="1" t="s">
        <v>12</v>
      </c>
      <c r="N123" s="1" t="str">
        <f t="shared" si="18"/>
        <v>Female</v>
      </c>
      <c r="O123" s="1">
        <v>16</v>
      </c>
      <c r="P123" s="1">
        <v>10</v>
      </c>
      <c r="Q123" s="1">
        <v>42</v>
      </c>
      <c r="R123" s="2" cm="1">
        <f t="array" ref="R123">IF(AND(ISNUMBER(O123:Q123),SUM(O123:Q123)&lt;100),SUM(O123:Q123),"No Score")</f>
        <v>68</v>
      </c>
      <c r="S123" t="str" cm="1">
        <f t="array" ref="S123">_xlfn.IFS(AND(R123 &gt;=91,R123 &lt;=100),"A+",AND(R123 &gt;=71,R123 &lt;=90),"A",AND(R123 &gt;=61,R123 &lt;=70),"B",AND(R123 &gt;=51,R123 &lt;=60),"C",AND(R123 &gt;=40,R123 &lt;=50),"D",R123 &lt;40,"F",R123="No Score","No Grade",OR(R123&gt;100,R123&lt;0),"Invalid score")</f>
        <v>B</v>
      </c>
      <c r="T123" t="str" cm="1">
        <f t="array" ref="T123">_xlfn.IFS(S123="A+","Distinction",S123="A","Excellent", S123="B","Credit",S123="C","Very Good", S123="D","Good",S123="F","Poor",OR(S123="No Grade",S123="Invalid Score"),"No Remark")</f>
        <v>Credit</v>
      </c>
    </row>
    <row r="124" spans="1:20" x14ac:dyDescent="0.2">
      <c r="A124" s="1" t="s">
        <v>391</v>
      </c>
      <c r="B124" s="7">
        <f t="shared" si="10"/>
        <v>45542.8903587963</v>
      </c>
      <c r="C124" s="20">
        <f t="shared" si="13"/>
        <v>45542.8903587963</v>
      </c>
      <c r="D124" s="21">
        <f t="shared" si="14"/>
        <v>0.89035879629955161</v>
      </c>
      <c r="E124" s="6" t="s">
        <v>392</v>
      </c>
      <c r="F124" s="6" t="s">
        <v>393</v>
      </c>
      <c r="G124" s="6" t="str">
        <f t="shared" si="15"/>
        <v>Ali</v>
      </c>
      <c r="H124" s="6" t="s">
        <v>394</v>
      </c>
      <c r="I124" s="6" t="str">
        <f t="shared" si="16"/>
        <v>Haruna Kaduna</v>
      </c>
      <c r="J124" s="6" t="str">
        <f t="shared" si="11"/>
        <v>Ali Haruna Kaduna</v>
      </c>
      <c r="K124" s="6" t="str">
        <f t="shared" si="12"/>
        <v>Unique</v>
      </c>
      <c r="L124" s="6" t="str">
        <f t="shared" si="19"/>
        <v>aliharuna kaduna@3mtt.com</v>
      </c>
      <c r="M124" s="6" t="s">
        <v>21</v>
      </c>
      <c r="N124" s="1" t="str">
        <f t="shared" si="18"/>
        <v>Male</v>
      </c>
      <c r="O124" s="6" t="s">
        <v>395</v>
      </c>
      <c r="P124" s="6" t="s">
        <v>396</v>
      </c>
      <c r="Q124" s="6" t="s">
        <v>397</v>
      </c>
      <c r="R124" s="2" t="str" cm="1">
        <f t="array" ref="R124">IF(AND(ISNUMBER(O124:Q124),SUM(O124:Q124)&lt;100),SUM(O124:Q124),"No Score")</f>
        <v>No Score</v>
      </c>
      <c r="S124" s="22" t="str" cm="1">
        <f t="array" ref="S124">_xlfn.IFS(AND(R124 &gt;=91,R124 &lt;=100),"A+",AND(R124 &gt;=71,R124 &lt;=90),"A",AND(R124 &gt;=61,R124 &lt;=70),"B",AND(R124 &gt;=51,R124 &lt;=60),"C",AND(R124 &gt;=40,R124 &lt;=50),"D",R124 &lt;40,"F",R124="No Score","No Grade",OR(R124&gt;100,R124&lt;0),"Invalid score")</f>
        <v>No Grade</v>
      </c>
      <c r="T124" s="22" t="str" cm="1">
        <f t="array" ref="T124">_xlfn.IFS(S124="A+","Distinction",S124="A","Excellent", S124="B","Credit",S124="C","Very Good", S124="D","Good",S124="F","Poor",OR(S124="No Grade",S124="Invalid Score"),"No Remark")</f>
        <v>No Remark</v>
      </c>
    </row>
    <row r="125" spans="1:20" x14ac:dyDescent="0.2">
      <c r="A125" s="1" t="s">
        <v>398</v>
      </c>
      <c r="B125" s="7">
        <f t="shared" si="10"/>
        <v>45542.894976851851</v>
      </c>
      <c r="C125" s="20">
        <f t="shared" si="13"/>
        <v>45542.894976851851</v>
      </c>
      <c r="D125" s="21">
        <f>MOD(C125,1)</f>
        <v>0.89497685185051523</v>
      </c>
      <c r="E125" s="6" t="s">
        <v>399</v>
      </c>
      <c r="F125" s="6" t="s">
        <v>153</v>
      </c>
      <c r="G125" s="6" t="str">
        <f t="shared" si="15"/>
        <v>Ruth</v>
      </c>
      <c r="H125" s="6" t="s">
        <v>400</v>
      </c>
      <c r="I125" s="6" t="str">
        <f t="shared" si="16"/>
        <v>Ozokolo</v>
      </c>
      <c r="J125" s="6" t="str">
        <f t="shared" si="11"/>
        <v>Ruth Ozokolo</v>
      </c>
      <c r="K125" s="6" t="str">
        <f t="shared" si="12"/>
        <v>Unique</v>
      </c>
      <c r="L125" s="6" t="str">
        <f t="shared" si="19"/>
        <v>ruthozokolo@3mtt.com</v>
      </c>
      <c r="M125" s="6" t="s">
        <v>12</v>
      </c>
      <c r="N125" s="1" t="str">
        <f t="shared" si="18"/>
        <v>Female</v>
      </c>
      <c r="O125" s="6" t="s">
        <v>401</v>
      </c>
      <c r="P125" s="6" t="s">
        <v>402</v>
      </c>
      <c r="Q125" s="6" t="s">
        <v>403</v>
      </c>
      <c r="R125" s="2" t="str" cm="1">
        <f t="array" ref="R125">IF(AND(ISNUMBER(O125:Q125),SUM(O125:Q125)&lt;100),SUM(O125:Q125),"No Score")</f>
        <v>No Score</v>
      </c>
      <c r="S125" s="22" t="str" cm="1">
        <f t="array" ref="S125">_xlfn.IFS(AND(R125 &gt;=91,R125 &lt;=100),"A+",AND(R125 &gt;=71,R125 &lt;=90),"A",AND(R125 &gt;=61,R125 &lt;=70),"B",AND(R125 &gt;=51,R125 &lt;=60),"C",AND(R125 &gt;=40,R125 &lt;=50),"D",R125 &lt;40,"F",R125="No Score","No Grade",OR(R125&gt;100,R125&lt;0),"Invalid score")</f>
        <v>No Grade</v>
      </c>
      <c r="T125" s="22" t="str" cm="1">
        <f t="array" ref="T125">_xlfn.IFS(S125="A+","Distinction",S125="A","Excellent", S125="B","Credit",S125="C","Very Good", S125="D","Good",S125="F","Poor",OR(S125="No Grade",S125="Invalid Score"),"No Remark")</f>
        <v>No Remark</v>
      </c>
    </row>
    <row r="126" spans="1:20" x14ac:dyDescent="0.2">
      <c r="A126" s="1" t="s">
        <v>404</v>
      </c>
      <c r="B126" s="7">
        <f t="shared" si="10"/>
        <v>45542.903703703705</v>
      </c>
      <c r="C126" s="8">
        <f t="shared" si="13"/>
        <v>45542.903703703705</v>
      </c>
      <c r="D126" s="9">
        <f t="shared" si="14"/>
        <v>0.903703703705105</v>
      </c>
      <c r="E126" s="1" t="s">
        <v>405</v>
      </c>
      <c r="F126" s="1" t="s">
        <v>406</v>
      </c>
      <c r="G126" s="1" t="str">
        <f t="shared" si="15"/>
        <v>Monday</v>
      </c>
      <c r="H126" s="1" t="s">
        <v>407</v>
      </c>
      <c r="I126" s="1" t="str">
        <f t="shared" si="16"/>
        <v>Sandra</v>
      </c>
      <c r="J126" s="1" t="str">
        <f t="shared" si="11"/>
        <v>Monday Sandra</v>
      </c>
      <c r="K126" s="1" t="str">
        <f t="shared" si="12"/>
        <v>Unique</v>
      </c>
      <c r="L126" s="1" t="str">
        <f t="shared" si="19"/>
        <v>mondaysandra@3mtt.com</v>
      </c>
      <c r="M126" s="1" t="s">
        <v>17</v>
      </c>
      <c r="N126" s="1" t="str">
        <f t="shared" si="18"/>
        <v xml:space="preserve">Female </v>
      </c>
      <c r="O126" s="1">
        <v>10</v>
      </c>
      <c r="P126" s="1">
        <v>17</v>
      </c>
      <c r="Q126" s="1">
        <v>49</v>
      </c>
      <c r="R126" s="2" cm="1">
        <f t="array" ref="R126">IF(AND(ISNUMBER(O126:Q126),SUM(O126:Q126)&lt;100),SUM(O126:Q126),"No Score")</f>
        <v>76</v>
      </c>
      <c r="S126" t="str" cm="1">
        <f t="array" ref="S126">_xlfn.IFS(AND(R126 &gt;=91,R126 &lt;=100),"A+",AND(R126 &gt;=71,R126 &lt;=90),"A",AND(R126 &gt;=61,R126 &lt;=70),"B",AND(R126 &gt;=51,R126 &lt;=60),"C",AND(R126 &gt;=40,R126 &lt;=50),"D",R126 &lt;40,"F",R126="No Score","No Grade",OR(R126&gt;100,R126&lt;0),"Invalid score")</f>
        <v>A</v>
      </c>
      <c r="T126" t="str" cm="1">
        <f t="array" ref="T126">_xlfn.IFS(S126="A+","Distinction",S126="A","Excellent", S126="B","Credit",S126="C","Very Good", S126="D","Good",S126="F","Poor",OR(S126="No Grade",S126="Invalid Score"),"No Remark")</f>
        <v>Excellent</v>
      </c>
    </row>
    <row r="127" spans="1:20" x14ac:dyDescent="0.2">
      <c r="A127" s="1" t="s">
        <v>408</v>
      </c>
      <c r="B127" s="7">
        <f t="shared" si="10"/>
        <v>45542.906759259262</v>
      </c>
      <c r="C127" s="8">
        <f t="shared" si="13"/>
        <v>45542.906759259262</v>
      </c>
      <c r="D127" s="9">
        <f t="shared" si="14"/>
        <v>0.90675925926188938</v>
      </c>
      <c r="E127" s="1" t="s">
        <v>409</v>
      </c>
      <c r="F127" s="1" t="s">
        <v>410</v>
      </c>
      <c r="G127" s="1" t="str">
        <f t="shared" si="15"/>
        <v>Ojomugbenyo</v>
      </c>
      <c r="H127" s="1" t="s">
        <v>411</v>
      </c>
      <c r="I127" s="1" t="str">
        <f t="shared" si="16"/>
        <v>Abah</v>
      </c>
      <c r="J127" s="1" t="str">
        <f t="shared" si="11"/>
        <v>Ojomugbenyo Abah</v>
      </c>
      <c r="K127" s="1" t="str">
        <f t="shared" si="12"/>
        <v>Unique</v>
      </c>
      <c r="L127" s="1" t="str">
        <f t="shared" si="19"/>
        <v>ojomugbenyoabah@3mtt.com</v>
      </c>
      <c r="M127" s="1" t="s">
        <v>21</v>
      </c>
      <c r="N127" s="1" t="str">
        <f t="shared" si="18"/>
        <v>Male</v>
      </c>
      <c r="O127" s="1">
        <v>15</v>
      </c>
      <c r="P127" s="1">
        <v>17</v>
      </c>
      <c r="Q127" s="1">
        <v>55</v>
      </c>
      <c r="R127" s="2" cm="1">
        <f t="array" ref="R127">IF(AND(ISNUMBER(O127:Q127),SUM(O127:Q127)&lt;100),SUM(O127:Q127),"No Score")</f>
        <v>87</v>
      </c>
      <c r="S127" t="str" cm="1">
        <f t="array" ref="S127">_xlfn.IFS(AND(R127 &gt;=91,R127 &lt;=100),"A+",AND(R127 &gt;=71,R127 &lt;=90),"A",AND(R127 &gt;=61,R127 &lt;=70),"B",AND(R127 &gt;=51,R127 &lt;=60),"C",AND(R127 &gt;=40,R127 &lt;=50),"D",R127 &lt;40,"F",R127="No Score","No Grade",OR(R127&gt;100,R127&lt;0),"Invalid score")</f>
        <v>A</v>
      </c>
      <c r="T127" t="str" cm="1">
        <f t="array" ref="T127">_xlfn.IFS(S127="A+","Distinction",S127="A","Excellent", S127="B","Credit",S127="C","Very Good", S127="D","Good",S127="F","Poor",OR(S127="No Grade",S127="Invalid Score"),"No Remark")</f>
        <v>Excellent</v>
      </c>
    </row>
    <row r="128" spans="1:20" x14ac:dyDescent="0.2">
      <c r="A128" s="1" t="s">
        <v>412</v>
      </c>
      <c r="B128" s="7">
        <f t="shared" si="10"/>
        <v>45542.944189814814</v>
      </c>
      <c r="C128" s="8">
        <f t="shared" si="13"/>
        <v>45542.944189814814</v>
      </c>
      <c r="D128" s="9">
        <f t="shared" si="14"/>
        <v>0.94418981481430819</v>
      </c>
      <c r="E128" s="1" t="s">
        <v>413</v>
      </c>
      <c r="F128" s="1" t="s">
        <v>414</v>
      </c>
      <c r="G128" s="1" t="str">
        <f t="shared" si="15"/>
        <v>Amira</v>
      </c>
      <c r="H128" s="1" t="s">
        <v>415</v>
      </c>
      <c r="I128" s="1" t="str">
        <f t="shared" si="16"/>
        <v>Abba</v>
      </c>
      <c r="J128" s="1" t="str">
        <f t="shared" si="11"/>
        <v>Amira Abba</v>
      </c>
      <c r="K128" s="1" t="str">
        <f t="shared" si="12"/>
        <v>Unique</v>
      </c>
      <c r="L128" s="1" t="str">
        <f t="shared" si="19"/>
        <v>amiraabba@3mtt.com</v>
      </c>
      <c r="M128" s="1" t="s">
        <v>12</v>
      </c>
      <c r="N128" s="1" t="str">
        <f t="shared" si="18"/>
        <v>Female</v>
      </c>
      <c r="O128" s="1">
        <v>19</v>
      </c>
      <c r="P128" s="1">
        <v>18</v>
      </c>
      <c r="Q128" s="1">
        <v>56</v>
      </c>
      <c r="R128" s="2" cm="1">
        <f t="array" ref="R128">IF(AND(ISNUMBER(O128:Q128),SUM(O128:Q128)&lt;100),SUM(O128:Q128),"No Score")</f>
        <v>93</v>
      </c>
      <c r="S128" t="str" cm="1">
        <f t="array" ref="S128">_xlfn.IFS(AND(R128 &gt;=91,R128 &lt;=100),"A+",AND(R128 &gt;=71,R128 &lt;=90),"A",AND(R128 &gt;=61,R128 &lt;=70),"B",AND(R128 &gt;=51,R128 &lt;=60),"C",AND(R128 &gt;=40,R128 &lt;=50),"D",R128 &lt;40,"F",R128="No Score","No Grade",OR(R128&gt;100,R128&lt;0),"Invalid score")</f>
        <v>A+</v>
      </c>
      <c r="T128" t="str" cm="1">
        <f t="array" ref="T128">_xlfn.IFS(S128="A+","Distinction",S128="A","Excellent", S128="B","Credit",S128="C","Very Good", S128="D","Good",S128="F","Poor",OR(S128="No Grade",S128="Invalid Score"),"No Remark")</f>
        <v>Distinction</v>
      </c>
    </row>
    <row r="129" spans="1:20" x14ac:dyDescent="0.2">
      <c r="A129" s="1" t="s">
        <v>416</v>
      </c>
      <c r="B129" s="7">
        <f t="shared" si="10"/>
        <v>45542.945659722223</v>
      </c>
      <c r="C129" s="8">
        <f t="shared" si="13"/>
        <v>45542.945659722223</v>
      </c>
      <c r="D129" s="9">
        <f t="shared" si="14"/>
        <v>0.94565972222335404</v>
      </c>
      <c r="E129" s="1" t="s">
        <v>413</v>
      </c>
      <c r="F129" s="1" t="s">
        <v>417</v>
      </c>
      <c r="G129" s="1" t="str">
        <f t="shared" si="15"/>
        <v>Abel</v>
      </c>
      <c r="H129" s="1" t="s">
        <v>67</v>
      </c>
      <c r="I129" s="1" t="str">
        <f t="shared" si="16"/>
        <v>Johnson</v>
      </c>
      <c r="J129" s="1" t="str">
        <f t="shared" si="11"/>
        <v>Abel Johnson</v>
      </c>
      <c r="K129" s="1" t="str">
        <f t="shared" si="12"/>
        <v>Unique</v>
      </c>
      <c r="L129" s="1" t="str">
        <f t="shared" si="19"/>
        <v>abeljohnson@3mtt.com</v>
      </c>
      <c r="M129" s="1" t="s">
        <v>21</v>
      </c>
      <c r="N129" s="1" t="str">
        <f t="shared" si="18"/>
        <v>Male</v>
      </c>
      <c r="O129" s="1">
        <v>17</v>
      </c>
      <c r="P129" s="1">
        <v>12</v>
      </c>
      <c r="Q129" s="1">
        <v>49</v>
      </c>
      <c r="R129" s="2" cm="1">
        <f t="array" ref="R129">IF(AND(ISNUMBER(O129:Q129),SUM(O129:Q129)&lt;100),SUM(O129:Q129),"No Score")</f>
        <v>78</v>
      </c>
      <c r="S129" t="str" cm="1">
        <f t="array" ref="S129">_xlfn.IFS(AND(R129 &gt;=91,R129 &lt;=100),"A+",AND(R129 &gt;=71,R129 &lt;=90),"A",AND(R129 &gt;=61,R129 &lt;=70),"B",AND(R129 &gt;=51,R129 &lt;=60),"C",AND(R129 &gt;=40,R129 &lt;=50),"D",R129 &lt;40,"F",R129="No Score","No Grade",OR(R129&gt;100,R129&lt;0),"Invalid score")</f>
        <v>A</v>
      </c>
      <c r="T129" t="str" cm="1">
        <f t="array" ref="T129">_xlfn.IFS(S129="A+","Distinction",S129="A","Excellent", S129="B","Credit",S129="C","Very Good", S129="D","Good",S129="F","Poor",OR(S129="No Grade",S129="Invalid Score"),"No Remark")</f>
        <v>Excellent</v>
      </c>
    </row>
    <row r="130" spans="1:20" x14ac:dyDescent="0.2">
      <c r="A130" s="1" t="s">
        <v>418</v>
      </c>
      <c r="B130" s="7">
        <f t="shared" ref="B130:B193" si="20">VALUE((SUBSTITUTE(A130,"GMT+1","")))</f>
        <v>45542.947048611109</v>
      </c>
      <c r="C130" s="8">
        <f t="shared" si="13"/>
        <v>45542.947048611109</v>
      </c>
      <c r="D130" s="9">
        <f t="shared" si="14"/>
        <v>0.94704861110949423</v>
      </c>
      <c r="E130" s="1" t="s">
        <v>413</v>
      </c>
      <c r="F130" s="1" t="s">
        <v>419</v>
      </c>
      <c r="G130" s="1" t="str">
        <f t="shared" si="15"/>
        <v>Caleb</v>
      </c>
      <c r="H130" s="1" t="s">
        <v>288</v>
      </c>
      <c r="I130" s="1" t="str">
        <f t="shared" si="16"/>
        <v>Samuel</v>
      </c>
      <c r="J130" s="1" t="str">
        <f t="shared" ref="J130:J193" si="21">_xlfn.CONCAT(G130," ",I130)</f>
        <v>Caleb Samuel</v>
      </c>
      <c r="K130" s="1" t="str">
        <f t="shared" ref="K130:K193" si="22">IF(COUNTIF($J$2:$J$258,J130)&gt;1,"Duplicate","Unique")</f>
        <v>Unique</v>
      </c>
      <c r="L130" s="1" t="str">
        <f t="shared" si="19"/>
        <v>calebsamuel@3mtt.com</v>
      </c>
      <c r="M130" s="1" t="s">
        <v>21</v>
      </c>
      <c r="N130" s="1" t="str">
        <f t="shared" si="18"/>
        <v>Male</v>
      </c>
      <c r="O130" s="1">
        <v>16</v>
      </c>
      <c r="P130" s="1">
        <v>9</v>
      </c>
      <c r="Q130" s="1">
        <v>53</v>
      </c>
      <c r="R130" s="2" cm="1">
        <f t="array" ref="R130">IF(AND(ISNUMBER(O130:Q130),SUM(O130:Q130)&lt;100),SUM(O130:Q130),"No Score")</f>
        <v>78</v>
      </c>
      <c r="S130" t="str" cm="1">
        <f t="array" ref="S130">_xlfn.IFS(AND(R130 &gt;=91,R130 &lt;=100),"A+",AND(R130 &gt;=71,R130 &lt;=90),"A",AND(R130 &gt;=61,R130 &lt;=70),"B",AND(R130 &gt;=51,R130 &lt;=60),"C",AND(R130 &gt;=40,R130 &lt;=50),"D",R130 &lt;40,"F",R130="No Score","No Grade",OR(R130&gt;100,R130&lt;0),"Invalid score")</f>
        <v>A</v>
      </c>
      <c r="T130" t="str" cm="1">
        <f t="array" ref="T130">_xlfn.IFS(S130="A+","Distinction",S130="A","Excellent", S130="B","Credit",S130="C","Very Good", S130="D","Good",S130="F","Poor",OR(S130="No Grade",S130="Invalid Score"),"No Remark")</f>
        <v>Excellent</v>
      </c>
    </row>
    <row r="131" spans="1:20" x14ac:dyDescent="0.2">
      <c r="A131" s="1" t="s">
        <v>420</v>
      </c>
      <c r="B131" s="7">
        <f t="shared" si="20"/>
        <v>45542.948460648149</v>
      </c>
      <c r="C131" s="8">
        <f t="shared" ref="C131:C194" si="23">VALUE(SUBSTITUTE(A131,"GMT+1",""))</f>
        <v>45542.948460648149</v>
      </c>
      <c r="D131" s="9">
        <f t="shared" ref="D131:D194" si="24">MOD(C131,1)</f>
        <v>0.94846064814919373</v>
      </c>
      <c r="E131" s="1" t="s">
        <v>413</v>
      </c>
      <c r="F131" s="1" t="s">
        <v>421</v>
      </c>
      <c r="G131" s="1" t="str">
        <f t="shared" ref="G131:G194" si="25">PROPER(TRIM(F131))</f>
        <v>Sadiya</v>
      </c>
      <c r="H131" s="1" t="s">
        <v>422</v>
      </c>
      <c r="I131" s="1" t="str">
        <f t="shared" ref="I131:I194" si="26">PROPER(TRIM(H131))</f>
        <v>Umar</v>
      </c>
      <c r="J131" s="1" t="str">
        <f t="shared" si="21"/>
        <v>Sadiya Umar</v>
      </c>
      <c r="K131" s="1" t="str">
        <f t="shared" si="22"/>
        <v>Unique</v>
      </c>
      <c r="L131" s="1" t="str">
        <f t="shared" ref="L131:L147" si="27">_xlfn.CONCAT(LOWER(G131),LOWER(I131),"@3mtt.com")</f>
        <v>sadiyaumar@3mtt.com</v>
      </c>
      <c r="M131" s="1" t="s">
        <v>12</v>
      </c>
      <c r="N131" s="1" t="str">
        <f t="shared" ref="N131:N194" si="28">IF(M131="Make","Male",PROPER(M131))</f>
        <v>Female</v>
      </c>
      <c r="O131" s="1">
        <v>14</v>
      </c>
      <c r="P131" s="1">
        <v>19</v>
      </c>
      <c r="Q131" s="1">
        <v>56</v>
      </c>
      <c r="R131" s="2" cm="1">
        <f t="array" ref="R131">IF(AND(ISNUMBER(O131:Q131),SUM(O131:Q131)&lt;100),SUM(O131:Q131),"No Score")</f>
        <v>89</v>
      </c>
      <c r="S131" t="str" cm="1">
        <f t="array" ref="S131">_xlfn.IFS(AND(R131 &gt;=91,R131 &lt;=100),"A+",AND(R131 &gt;=71,R131 &lt;=90),"A",AND(R131 &gt;=61,R131 &lt;=70),"B",AND(R131 &gt;=51,R131 &lt;=60),"C",AND(R131 &gt;=40,R131 &lt;=50),"D",R131 &lt;40,"F",R131="No Score","No Grade",OR(R131&gt;100,R131&lt;0),"Invalid score")</f>
        <v>A</v>
      </c>
      <c r="T131" t="str" cm="1">
        <f t="array" ref="T131">_xlfn.IFS(S131="A+","Distinction",S131="A","Excellent", S131="B","Credit",S131="C","Very Good", S131="D","Good",S131="F","Poor",OR(S131="No Grade",S131="Invalid Score"),"No Remark")</f>
        <v>Excellent</v>
      </c>
    </row>
    <row r="132" spans="1:20" x14ac:dyDescent="0.2">
      <c r="A132" s="1" t="s">
        <v>423</v>
      </c>
      <c r="B132" s="7">
        <f t="shared" si="20"/>
        <v>45542.949201388888</v>
      </c>
      <c r="C132" s="8">
        <f t="shared" si="23"/>
        <v>45542.949201388888</v>
      </c>
      <c r="D132" s="9">
        <f t="shared" si="24"/>
        <v>0.9492013888884685</v>
      </c>
      <c r="E132" s="1" t="s">
        <v>413</v>
      </c>
      <c r="F132" s="1" t="s">
        <v>424</v>
      </c>
      <c r="G132" s="1" t="str">
        <f t="shared" si="25"/>
        <v>Zipora</v>
      </c>
      <c r="H132" s="1" t="s">
        <v>425</v>
      </c>
      <c r="I132" s="1" t="str">
        <f t="shared" si="26"/>
        <v>George</v>
      </c>
      <c r="J132" s="1" t="str">
        <f t="shared" si="21"/>
        <v>Zipora George</v>
      </c>
      <c r="K132" s="1" t="str">
        <f t="shared" si="22"/>
        <v>Unique</v>
      </c>
      <c r="L132" s="1" t="str">
        <f t="shared" si="27"/>
        <v>ziporageorge@3mtt.com</v>
      </c>
      <c r="M132" s="1" t="s">
        <v>12</v>
      </c>
      <c r="N132" s="1" t="str">
        <f t="shared" si="28"/>
        <v>Female</v>
      </c>
      <c r="O132" s="1">
        <v>15</v>
      </c>
      <c r="P132" s="1">
        <v>15</v>
      </c>
      <c r="Q132" s="1">
        <v>53</v>
      </c>
      <c r="R132" s="2" cm="1">
        <f t="array" ref="R132">IF(AND(ISNUMBER(O132:Q132),SUM(O132:Q132)&lt;100),SUM(O132:Q132),"No Score")</f>
        <v>83</v>
      </c>
      <c r="S132" t="str" cm="1">
        <f t="array" ref="S132">_xlfn.IFS(AND(R132 &gt;=91,R132 &lt;=100),"A+",AND(R132 &gt;=71,R132 &lt;=90),"A",AND(R132 &gt;=61,R132 &lt;=70),"B",AND(R132 &gt;=51,R132 &lt;=60),"C",AND(R132 &gt;=40,R132 &lt;=50),"D",R132 &lt;40,"F",R132="No Score","No Grade",OR(R132&gt;100,R132&lt;0),"Invalid score")</f>
        <v>A</v>
      </c>
      <c r="T132" t="str" cm="1">
        <f t="array" ref="T132">_xlfn.IFS(S132="A+","Distinction",S132="A","Excellent", S132="B","Credit",S132="C","Very Good", S132="D","Good",S132="F","Poor",OR(S132="No Grade",S132="Invalid Score"),"No Remark")</f>
        <v>Excellent</v>
      </c>
    </row>
    <row r="133" spans="1:20" x14ac:dyDescent="0.2">
      <c r="A133" s="1" t="s">
        <v>426</v>
      </c>
      <c r="B133" s="7">
        <f t="shared" si="20"/>
        <v>45543.023321759261</v>
      </c>
      <c r="C133" s="8">
        <f t="shared" si="23"/>
        <v>45543.023321759261</v>
      </c>
      <c r="D133" s="9">
        <f t="shared" si="24"/>
        <v>2.3321759261307307E-2</v>
      </c>
      <c r="E133" s="1" t="s">
        <v>427</v>
      </c>
      <c r="F133" s="1" t="s">
        <v>428</v>
      </c>
      <c r="G133" s="1" t="str">
        <f t="shared" si="25"/>
        <v>Nick</v>
      </c>
      <c r="H133" s="1" t="s">
        <v>429</v>
      </c>
      <c r="I133" s="1" t="str">
        <f t="shared" si="26"/>
        <v>Christian</v>
      </c>
      <c r="J133" s="1" t="str">
        <f t="shared" si="21"/>
        <v>Nick Christian</v>
      </c>
      <c r="K133" s="1" t="str">
        <f t="shared" si="22"/>
        <v>Unique</v>
      </c>
      <c r="L133" s="1" t="str">
        <f t="shared" si="27"/>
        <v>nickchristian@3mtt.com</v>
      </c>
      <c r="M133" s="1" t="s">
        <v>53</v>
      </c>
      <c r="N133" s="1" t="str">
        <f t="shared" si="28"/>
        <v xml:space="preserve">Male </v>
      </c>
      <c r="O133" s="1">
        <v>16</v>
      </c>
      <c r="P133" s="1">
        <v>17</v>
      </c>
      <c r="Q133" s="1">
        <v>50</v>
      </c>
      <c r="R133" s="2" cm="1">
        <f t="array" ref="R133">IF(AND(ISNUMBER(O133:Q133),SUM(O133:Q133)&lt;100),SUM(O133:Q133),"No Score")</f>
        <v>83</v>
      </c>
      <c r="S133" t="str" cm="1">
        <f t="array" ref="S133">_xlfn.IFS(AND(R133 &gt;=91,R133 &lt;=100),"A+",AND(R133 &gt;=71,R133 &lt;=90),"A",AND(R133 &gt;=61,R133 &lt;=70),"B",AND(R133 &gt;=51,R133 &lt;=60),"C",AND(R133 &gt;=40,R133 &lt;=50),"D",R133 &lt;40,"F",R133="No Score","No Grade",OR(R133&gt;100,R133&lt;0),"Invalid score")</f>
        <v>A</v>
      </c>
      <c r="T133" t="str" cm="1">
        <f t="array" ref="T133">_xlfn.IFS(S133="A+","Distinction",S133="A","Excellent", S133="B","Credit",S133="C","Very Good", S133="D","Good",S133="F","Poor",OR(S133="No Grade",S133="Invalid Score"),"No Remark")</f>
        <v>Excellent</v>
      </c>
    </row>
    <row r="134" spans="1:20" x14ac:dyDescent="0.2">
      <c r="A134" s="1" t="s">
        <v>430</v>
      </c>
      <c r="B134" s="7">
        <f t="shared" si="20"/>
        <v>45543.023969907408</v>
      </c>
      <c r="C134" s="8">
        <f t="shared" si="23"/>
        <v>45543.023969907408</v>
      </c>
      <c r="D134" s="9">
        <f t="shared" si="24"/>
        <v>2.396990740817273E-2</v>
      </c>
      <c r="E134" s="1" t="s">
        <v>427</v>
      </c>
      <c r="F134" s="1" t="s">
        <v>91</v>
      </c>
      <c r="G134" s="1" t="str">
        <f t="shared" si="25"/>
        <v>Joy</v>
      </c>
      <c r="H134" s="1" t="s">
        <v>431</v>
      </c>
      <c r="I134" s="1" t="str">
        <f t="shared" si="26"/>
        <v>Embers</v>
      </c>
      <c r="J134" s="1" t="str">
        <f t="shared" si="21"/>
        <v>Joy Embers</v>
      </c>
      <c r="K134" s="1" t="str">
        <f t="shared" si="22"/>
        <v>Unique</v>
      </c>
      <c r="L134" s="1" t="str">
        <f t="shared" si="27"/>
        <v>joyembers@3mtt.com</v>
      </c>
      <c r="M134" s="1" t="s">
        <v>17</v>
      </c>
      <c r="N134" s="1" t="str">
        <f t="shared" si="28"/>
        <v xml:space="preserve">Female </v>
      </c>
      <c r="O134" s="1">
        <v>15</v>
      </c>
      <c r="P134" s="1">
        <v>17</v>
      </c>
      <c r="Q134" s="1">
        <v>53</v>
      </c>
      <c r="R134" s="2" cm="1">
        <f t="array" ref="R134">IF(AND(ISNUMBER(O134:Q134),SUM(O134:Q134)&lt;100),SUM(O134:Q134),"No Score")</f>
        <v>85</v>
      </c>
      <c r="S134" t="str" cm="1">
        <f t="array" ref="S134">_xlfn.IFS(AND(R134 &gt;=91,R134 &lt;=100),"A+",AND(R134 &gt;=71,R134 &lt;=90),"A",AND(R134 &gt;=61,R134 &lt;=70),"B",AND(R134 &gt;=51,R134 &lt;=60),"C",AND(R134 &gt;=40,R134 &lt;=50),"D",R134 &lt;40,"F",R134="No Score","No Grade",OR(R134&gt;100,R134&lt;0),"Invalid score")</f>
        <v>A</v>
      </c>
      <c r="T134" t="str" cm="1">
        <f t="array" ref="T134">_xlfn.IFS(S134="A+","Distinction",S134="A","Excellent", S134="B","Credit",S134="C","Very Good", S134="D","Good",S134="F","Poor",OR(S134="No Grade",S134="Invalid Score"),"No Remark")</f>
        <v>Excellent</v>
      </c>
    </row>
    <row r="135" spans="1:20" x14ac:dyDescent="0.2">
      <c r="A135" s="1" t="s">
        <v>432</v>
      </c>
      <c r="B135" s="7">
        <f t="shared" si="20"/>
        <v>45543.02443287037</v>
      </c>
      <c r="C135" s="8">
        <f t="shared" si="23"/>
        <v>45543.02443287037</v>
      </c>
      <c r="D135" s="9">
        <f t="shared" si="24"/>
        <v>2.4432870370219462E-2</v>
      </c>
      <c r="E135" s="1" t="s">
        <v>427</v>
      </c>
      <c r="F135" s="1" t="s">
        <v>433</v>
      </c>
      <c r="G135" s="1" t="str">
        <f t="shared" si="25"/>
        <v>Hope</v>
      </c>
      <c r="H135" s="1" t="s">
        <v>154</v>
      </c>
      <c r="I135" s="1" t="str">
        <f t="shared" si="26"/>
        <v>John</v>
      </c>
      <c r="J135" s="1" t="str">
        <f t="shared" si="21"/>
        <v>Hope John</v>
      </c>
      <c r="K135" s="1" t="str">
        <f t="shared" si="22"/>
        <v>Unique</v>
      </c>
      <c r="L135" s="1" t="str">
        <f t="shared" si="27"/>
        <v>hopejohn@3mtt.com</v>
      </c>
      <c r="M135" s="1" t="s">
        <v>17</v>
      </c>
      <c r="N135" s="1" t="str">
        <f t="shared" si="28"/>
        <v xml:space="preserve">Female </v>
      </c>
      <c r="O135" s="1">
        <v>13</v>
      </c>
      <c r="P135" s="1">
        <v>15</v>
      </c>
      <c r="Q135" s="1">
        <v>43</v>
      </c>
      <c r="R135" s="2" cm="1">
        <f t="array" ref="R135">IF(AND(ISNUMBER(O135:Q135),SUM(O135:Q135)&lt;100),SUM(O135:Q135),"No Score")</f>
        <v>71</v>
      </c>
      <c r="S135" t="str" cm="1">
        <f t="array" ref="S135">_xlfn.IFS(AND(R135 &gt;=91,R135 &lt;=100),"A+",AND(R135 &gt;=71,R135 &lt;=90),"A",AND(R135 &gt;=61,R135 &lt;=70),"B",AND(R135 &gt;=51,R135 &lt;=60),"C",AND(R135 &gt;=40,R135 &lt;=50),"D",R135 &lt;40,"F",R135="No Score","No Grade",OR(R135&gt;100,R135&lt;0),"Invalid score")</f>
        <v>A</v>
      </c>
      <c r="T135" t="str" cm="1">
        <f t="array" ref="T135">_xlfn.IFS(S135="A+","Distinction",S135="A","Excellent", S135="B","Credit",S135="C","Very Good", S135="D","Good",S135="F","Poor",OR(S135="No Grade",S135="Invalid Score"),"No Remark")</f>
        <v>Excellent</v>
      </c>
    </row>
    <row r="136" spans="1:20" x14ac:dyDescent="0.2">
      <c r="A136" s="1" t="s">
        <v>434</v>
      </c>
      <c r="B136" s="7">
        <f t="shared" si="20"/>
        <v>45543.024872685186</v>
      </c>
      <c r="C136" s="8">
        <f t="shared" si="23"/>
        <v>45543.024872685186</v>
      </c>
      <c r="D136" s="9">
        <f t="shared" si="24"/>
        <v>2.4872685185982846E-2</v>
      </c>
      <c r="E136" s="1" t="s">
        <v>427</v>
      </c>
      <c r="F136" s="1" t="s">
        <v>435</v>
      </c>
      <c r="G136" s="1" t="str">
        <f t="shared" si="25"/>
        <v>Mike</v>
      </c>
      <c r="H136" s="1" t="s">
        <v>436</v>
      </c>
      <c r="I136" s="1" t="str">
        <f t="shared" si="26"/>
        <v>Rex</v>
      </c>
      <c r="J136" s="1" t="str">
        <f t="shared" si="21"/>
        <v>Mike Rex</v>
      </c>
      <c r="K136" s="1" t="str">
        <f t="shared" si="22"/>
        <v>Unique</v>
      </c>
      <c r="L136" s="1" t="str">
        <f t="shared" si="27"/>
        <v>mikerex@3mtt.com</v>
      </c>
      <c r="M136" s="1" t="s">
        <v>21</v>
      </c>
      <c r="N136" s="1" t="str">
        <f t="shared" si="28"/>
        <v>Male</v>
      </c>
      <c r="O136" s="1">
        <v>12</v>
      </c>
      <c r="P136" s="1">
        <v>15</v>
      </c>
      <c r="Q136" s="1">
        <v>45</v>
      </c>
      <c r="R136" s="2" cm="1">
        <f t="array" ref="R136">IF(AND(ISNUMBER(O136:Q136),SUM(O136:Q136)&lt;100),SUM(O136:Q136),"No Score")</f>
        <v>72</v>
      </c>
      <c r="S136" t="str" cm="1">
        <f t="array" ref="S136">_xlfn.IFS(AND(R136 &gt;=91,R136 &lt;=100),"A+",AND(R136 &gt;=71,R136 &lt;=90),"A",AND(R136 &gt;=61,R136 &lt;=70),"B",AND(R136 &gt;=51,R136 &lt;=60),"C",AND(R136 &gt;=40,R136 &lt;=50),"D",R136 &lt;40,"F",R136="No Score","No Grade",OR(R136&gt;100,R136&lt;0),"Invalid score")</f>
        <v>A</v>
      </c>
      <c r="T136" t="str" cm="1">
        <f t="array" ref="T136">_xlfn.IFS(S136="A+","Distinction",S136="A","Excellent", S136="B","Credit",S136="C","Very Good", S136="D","Good",S136="F","Poor",OR(S136="No Grade",S136="Invalid Score"),"No Remark")</f>
        <v>Excellent</v>
      </c>
    </row>
    <row r="137" spans="1:20" x14ac:dyDescent="0.2">
      <c r="A137" s="1" t="s">
        <v>437</v>
      </c>
      <c r="B137" s="7">
        <f t="shared" si="20"/>
        <v>45543.025578703702</v>
      </c>
      <c r="C137" s="8">
        <f t="shared" si="23"/>
        <v>45543.025578703702</v>
      </c>
      <c r="D137" s="9">
        <f t="shared" si="24"/>
        <v>2.5578703702194616E-2</v>
      </c>
      <c r="E137" s="1" t="s">
        <v>427</v>
      </c>
      <c r="F137" s="1" t="s">
        <v>438</v>
      </c>
      <c r="G137" s="1" t="str">
        <f t="shared" si="25"/>
        <v>Chole</v>
      </c>
      <c r="H137" s="1" t="s">
        <v>439</v>
      </c>
      <c r="I137" s="1" t="str">
        <f t="shared" si="26"/>
        <v>Ethan</v>
      </c>
      <c r="J137" s="1" t="str">
        <f t="shared" si="21"/>
        <v>Chole Ethan</v>
      </c>
      <c r="K137" s="1" t="str">
        <f t="shared" si="22"/>
        <v>Unique</v>
      </c>
      <c r="L137" s="1" t="str">
        <f t="shared" si="27"/>
        <v>choleethan@3mtt.com</v>
      </c>
      <c r="M137" s="1" t="s">
        <v>17</v>
      </c>
      <c r="N137" s="1" t="str">
        <f t="shared" si="28"/>
        <v xml:space="preserve">Female </v>
      </c>
      <c r="O137" s="1">
        <v>17</v>
      </c>
      <c r="P137" s="1">
        <v>16</v>
      </c>
      <c r="Q137" s="1">
        <v>51</v>
      </c>
      <c r="R137" s="2" cm="1">
        <f t="array" ref="R137">IF(AND(ISNUMBER(O137:Q137),SUM(O137:Q137)&lt;100),SUM(O137:Q137),"No Score")</f>
        <v>84</v>
      </c>
      <c r="S137" t="str" cm="1">
        <f t="array" ref="S137">_xlfn.IFS(AND(R137 &gt;=91,R137 &lt;=100),"A+",AND(R137 &gt;=71,R137 &lt;=90),"A",AND(R137 &gt;=61,R137 &lt;=70),"B",AND(R137 &gt;=51,R137 &lt;=60),"C",AND(R137 &gt;=40,R137 &lt;=50),"D",R137 &lt;40,"F",R137="No Score","No Grade",OR(R137&gt;100,R137&lt;0),"Invalid score")</f>
        <v>A</v>
      </c>
      <c r="T137" t="str" cm="1">
        <f t="array" ref="T137">_xlfn.IFS(S137="A+","Distinction",S137="A","Excellent", S137="B","Credit",S137="C","Very Good", S137="D","Good",S137="F","Poor",OR(S137="No Grade",S137="Invalid Score"),"No Remark")</f>
        <v>Excellent</v>
      </c>
    </row>
    <row r="138" spans="1:20" x14ac:dyDescent="0.2">
      <c r="A138" s="1" t="s">
        <v>440</v>
      </c>
      <c r="B138" s="7">
        <f t="shared" si="20"/>
        <v>45543.026365740741</v>
      </c>
      <c r="C138" s="8">
        <f t="shared" si="23"/>
        <v>45543.026365740741</v>
      </c>
      <c r="D138" s="9">
        <f t="shared" si="24"/>
        <v>2.6365740741312038E-2</v>
      </c>
      <c r="E138" s="1" t="s">
        <v>441</v>
      </c>
      <c r="F138" s="1" t="s">
        <v>442</v>
      </c>
      <c r="G138" s="1" t="str">
        <f t="shared" si="25"/>
        <v>Mary</v>
      </c>
      <c r="H138" s="1" t="s">
        <v>443</v>
      </c>
      <c r="I138" s="1" t="str">
        <f t="shared" si="26"/>
        <v>Akinyemi</v>
      </c>
      <c r="J138" s="1" t="str">
        <f t="shared" si="21"/>
        <v>Mary Akinyemi</v>
      </c>
      <c r="K138" s="1" t="str">
        <f t="shared" si="22"/>
        <v>Unique</v>
      </c>
      <c r="L138" s="1" t="str">
        <f t="shared" si="27"/>
        <v>maryakinyemi@3mtt.com</v>
      </c>
      <c r="M138" s="1" t="s">
        <v>12</v>
      </c>
      <c r="N138" s="1" t="str">
        <f t="shared" si="28"/>
        <v>Female</v>
      </c>
      <c r="O138" s="1">
        <v>20</v>
      </c>
      <c r="P138" s="1">
        <v>20</v>
      </c>
      <c r="Q138" s="1">
        <v>40</v>
      </c>
      <c r="R138" s="2" cm="1">
        <f t="array" ref="R138">IF(AND(ISNUMBER(O138:Q138),SUM(O138:Q138)&lt;100),SUM(O138:Q138),"No Score")</f>
        <v>80</v>
      </c>
      <c r="S138" t="str" cm="1">
        <f t="array" ref="S138">_xlfn.IFS(AND(R138 &gt;=91,R138 &lt;=100),"A+",AND(R138 &gt;=71,R138 &lt;=90),"A",AND(R138 &gt;=61,R138 &lt;=70),"B",AND(R138 &gt;=51,R138 &lt;=60),"C",AND(R138 &gt;=40,R138 &lt;=50),"D",R138 &lt;40,"F",R138="No Score","No Grade",OR(R138&gt;100,R138&lt;0),"Invalid score")</f>
        <v>A</v>
      </c>
      <c r="T138" t="str" cm="1">
        <f t="array" ref="T138">_xlfn.IFS(S138="A+","Distinction",S138="A","Excellent", S138="B","Credit",S138="C","Very Good", S138="D","Good",S138="F","Poor",OR(S138="No Grade",S138="Invalid Score"),"No Remark")</f>
        <v>Excellent</v>
      </c>
    </row>
    <row r="139" spans="1:20" x14ac:dyDescent="0.2">
      <c r="A139" s="3" t="s">
        <v>444</v>
      </c>
      <c r="B139" s="7">
        <f t="shared" si="20"/>
        <v>45543.026608796295</v>
      </c>
      <c r="C139" s="10">
        <f t="shared" si="23"/>
        <v>45543.026608796295</v>
      </c>
      <c r="D139" s="11">
        <f t="shared" si="24"/>
        <v>2.6608796295477077E-2</v>
      </c>
      <c r="E139" s="3" t="s">
        <v>445</v>
      </c>
      <c r="F139" s="3" t="s">
        <v>446</v>
      </c>
      <c r="G139" s="1" t="str">
        <f t="shared" si="25"/>
        <v>Dorcas</v>
      </c>
      <c r="H139" s="3" t="s">
        <v>447</v>
      </c>
      <c r="I139" s="1" t="str">
        <f t="shared" si="26"/>
        <v>Haggai</v>
      </c>
      <c r="J139" s="3" t="str">
        <f t="shared" si="21"/>
        <v>Dorcas Haggai</v>
      </c>
      <c r="K139" s="3" t="str">
        <f t="shared" si="22"/>
        <v>Duplicate</v>
      </c>
      <c r="L139" s="3" t="str">
        <f t="shared" si="27"/>
        <v>dorcashaggai@3mtt.com</v>
      </c>
      <c r="M139" s="1" t="s">
        <v>17</v>
      </c>
      <c r="N139" s="1" t="str">
        <f t="shared" si="28"/>
        <v xml:space="preserve">Female </v>
      </c>
      <c r="O139" s="3">
        <v>15</v>
      </c>
      <c r="P139" s="3">
        <v>10</v>
      </c>
      <c r="Q139" s="3">
        <v>40</v>
      </c>
      <c r="R139" s="2" cm="1">
        <f t="array" ref="R139">IF(AND(ISNUMBER(O139:Q139),SUM(O139:Q139)&lt;100),SUM(O139:Q139),"No Score")</f>
        <v>65</v>
      </c>
      <c r="S139" s="4" t="str" cm="1">
        <f t="array" ref="S139">_xlfn.IFS(AND(R139 &gt;=91,R139 &lt;=100),"A+",AND(R139 &gt;=71,R139 &lt;=90),"A",AND(R139 &gt;=61,R139 &lt;=70),"B",AND(R139 &gt;=51,R139 &lt;=60),"C",AND(R139 &gt;=40,R139 &lt;=50),"D",R139 &lt;40,"F",R139="No Score","No Grade",OR(R139&gt;100,R139&lt;0),"Invalid score")</f>
        <v>B</v>
      </c>
      <c r="T139" s="4" t="str" cm="1">
        <f t="array" ref="T139">_xlfn.IFS(S139="A+","Distinction",S139="A","Excellent", S139="B","Credit",S139="C","Very Good", S139="D","Good",S139="F","Poor",OR(S139="No Grade",S139="Invalid Score"),"No Remark")</f>
        <v>Credit</v>
      </c>
    </row>
    <row r="140" spans="1:20" x14ac:dyDescent="0.2">
      <c r="A140" s="1" t="s">
        <v>448</v>
      </c>
      <c r="B140" s="7">
        <f t="shared" si="20"/>
        <v>45543.052442129629</v>
      </c>
      <c r="C140" s="8">
        <f t="shared" si="23"/>
        <v>45543.052442129629</v>
      </c>
      <c r="D140" s="9">
        <f t="shared" si="24"/>
        <v>5.2442129628616385E-2</v>
      </c>
      <c r="E140" s="1" t="s">
        <v>449</v>
      </c>
      <c r="F140" s="1" t="s">
        <v>450</v>
      </c>
      <c r="G140" s="1" t="str">
        <f t="shared" si="25"/>
        <v>Temi</v>
      </c>
      <c r="H140" s="1" t="s">
        <v>451</v>
      </c>
      <c r="I140" s="1" t="str">
        <f t="shared" si="26"/>
        <v>Jayde</v>
      </c>
      <c r="J140" s="1" t="str">
        <f t="shared" si="21"/>
        <v>Temi Jayde</v>
      </c>
      <c r="K140" s="1" t="str">
        <f t="shared" si="22"/>
        <v>Unique</v>
      </c>
      <c r="L140" s="1" t="str">
        <f t="shared" si="27"/>
        <v>temijayde@3mtt.com</v>
      </c>
      <c r="M140" s="1" t="s">
        <v>17</v>
      </c>
      <c r="N140" s="1" t="str">
        <f t="shared" si="28"/>
        <v xml:space="preserve">Female </v>
      </c>
      <c r="O140" s="1">
        <v>16</v>
      </c>
      <c r="P140" s="1">
        <v>17</v>
      </c>
      <c r="Q140" s="1">
        <v>49</v>
      </c>
      <c r="R140" s="2" cm="1">
        <f t="array" ref="R140">IF(AND(ISNUMBER(O140:Q140),SUM(O140:Q140)&lt;100),SUM(O140:Q140),"No Score")</f>
        <v>82</v>
      </c>
      <c r="S140" t="str" cm="1">
        <f t="array" ref="S140">_xlfn.IFS(AND(R140 &gt;=91,R140 &lt;=100),"A+",AND(R140 &gt;=71,R140 &lt;=90),"A",AND(R140 &gt;=61,R140 &lt;=70),"B",AND(R140 &gt;=51,R140 &lt;=60),"C",AND(R140 &gt;=40,R140 &lt;=50),"D",R140 &lt;40,"F",R140="No Score","No Grade",OR(R140&gt;100,R140&lt;0),"Invalid score")</f>
        <v>A</v>
      </c>
      <c r="T140" t="str" cm="1">
        <f t="array" ref="T140">_xlfn.IFS(S140="A+","Distinction",S140="A","Excellent", S140="B","Credit",S140="C","Very Good", S140="D","Good",S140="F","Poor",OR(S140="No Grade",S140="Invalid Score"),"No Remark")</f>
        <v>Excellent</v>
      </c>
    </row>
    <row r="141" spans="1:20" x14ac:dyDescent="0.2">
      <c r="A141" s="1" t="s">
        <v>452</v>
      </c>
      <c r="B141" s="7">
        <f t="shared" si="20"/>
        <v>45543.053252314814</v>
      </c>
      <c r="C141" s="8">
        <f t="shared" si="23"/>
        <v>45543.053252314814</v>
      </c>
      <c r="D141" s="9">
        <f t="shared" si="24"/>
        <v>5.3252314814017154E-2</v>
      </c>
      <c r="E141" s="1" t="s">
        <v>449</v>
      </c>
      <c r="F141" s="1" t="s">
        <v>453</v>
      </c>
      <c r="G141" s="1" t="str">
        <f t="shared" si="25"/>
        <v>Will</v>
      </c>
      <c r="H141" s="1" t="s">
        <v>454</v>
      </c>
      <c r="I141" s="1" t="str">
        <f t="shared" si="26"/>
        <v>Aderopo</v>
      </c>
      <c r="J141" s="1" t="str">
        <f t="shared" si="21"/>
        <v>Will Aderopo</v>
      </c>
      <c r="K141" s="1" t="str">
        <f t="shared" si="22"/>
        <v>Unique</v>
      </c>
      <c r="L141" s="1" t="str">
        <f t="shared" si="27"/>
        <v>willaderopo@3mtt.com</v>
      </c>
      <c r="M141" s="1" t="s">
        <v>21</v>
      </c>
      <c r="N141" s="1" t="str">
        <f t="shared" si="28"/>
        <v>Male</v>
      </c>
      <c r="O141" s="1">
        <v>16</v>
      </c>
      <c r="P141" s="1">
        <v>20</v>
      </c>
      <c r="Q141" s="1">
        <v>51</v>
      </c>
      <c r="R141" s="2" cm="1">
        <f t="array" ref="R141">IF(AND(ISNUMBER(O141:Q141),SUM(O141:Q141)&lt;100),SUM(O141:Q141),"No Score")</f>
        <v>87</v>
      </c>
      <c r="S141" t="str" cm="1">
        <f t="array" ref="S141">_xlfn.IFS(AND(R141 &gt;=91,R141 &lt;=100),"A+",AND(R141 &gt;=71,R141 &lt;=90),"A",AND(R141 &gt;=61,R141 &lt;=70),"B",AND(R141 &gt;=51,R141 &lt;=60),"C",AND(R141 &gt;=40,R141 &lt;=50),"D",R141 &lt;40,"F",R141="No Score","No Grade",OR(R141&gt;100,R141&lt;0),"Invalid score")</f>
        <v>A</v>
      </c>
      <c r="T141" t="str" cm="1">
        <f t="array" ref="T141">_xlfn.IFS(S141="A+","Distinction",S141="A","Excellent", S141="B","Credit",S141="C","Very Good", S141="D","Good",S141="F","Poor",OR(S141="No Grade",S141="Invalid Score"),"No Remark")</f>
        <v>Excellent</v>
      </c>
    </row>
    <row r="142" spans="1:20" x14ac:dyDescent="0.2">
      <c r="A142" s="1" t="s">
        <v>455</v>
      </c>
      <c r="B142" s="7">
        <f t="shared" si="20"/>
        <v>45543.053993055553</v>
      </c>
      <c r="C142" s="8">
        <f t="shared" si="23"/>
        <v>45543.053993055553</v>
      </c>
      <c r="D142" s="9">
        <f t="shared" si="24"/>
        <v>5.3993055553291924E-2</v>
      </c>
      <c r="E142" s="1" t="s">
        <v>449</v>
      </c>
      <c r="F142" s="1" t="s">
        <v>456</v>
      </c>
      <c r="G142" s="1" t="str">
        <f t="shared" si="25"/>
        <v>Chinaza</v>
      </c>
      <c r="H142" s="1" t="s">
        <v>457</v>
      </c>
      <c r="I142" s="1" t="str">
        <f t="shared" si="26"/>
        <v>Egwu</v>
      </c>
      <c r="J142" s="1" t="str">
        <f t="shared" si="21"/>
        <v>Chinaza Egwu</v>
      </c>
      <c r="K142" s="1" t="str">
        <f t="shared" si="22"/>
        <v>Unique</v>
      </c>
      <c r="L142" s="1" t="str">
        <f t="shared" si="27"/>
        <v>chinazaegwu@3mtt.com</v>
      </c>
      <c r="M142" s="1" t="s">
        <v>12</v>
      </c>
      <c r="N142" s="1" t="str">
        <f t="shared" si="28"/>
        <v>Female</v>
      </c>
      <c r="O142" s="1">
        <v>10</v>
      </c>
      <c r="P142" s="1">
        <v>14</v>
      </c>
      <c r="Q142" s="1">
        <v>39</v>
      </c>
      <c r="R142" s="2" cm="1">
        <f t="array" ref="R142">IF(AND(ISNUMBER(O142:Q142),SUM(O142:Q142)&lt;100),SUM(O142:Q142),"No Score")</f>
        <v>63</v>
      </c>
      <c r="S142" t="str" cm="1">
        <f t="array" ref="S142">_xlfn.IFS(AND(R142 &gt;=91,R142 &lt;=100),"A+",AND(R142 &gt;=71,R142 &lt;=90),"A",AND(R142 &gt;=61,R142 &lt;=70),"B",AND(R142 &gt;=51,R142 &lt;=60),"C",AND(R142 &gt;=40,R142 &lt;=50),"D",R142 &lt;40,"F",R142="No Score","No Grade",OR(R142&gt;100,R142&lt;0),"Invalid score")</f>
        <v>B</v>
      </c>
      <c r="T142" t="str" cm="1">
        <f t="array" ref="T142">_xlfn.IFS(S142="A+","Distinction",S142="A","Excellent", S142="B","Credit",S142="C","Very Good", S142="D","Good",S142="F","Poor",OR(S142="No Grade",S142="Invalid Score"),"No Remark")</f>
        <v>Credit</v>
      </c>
    </row>
    <row r="143" spans="1:20" x14ac:dyDescent="0.2">
      <c r="A143" s="1" t="s">
        <v>458</v>
      </c>
      <c r="B143" s="7">
        <f t="shared" si="20"/>
        <v>45543.054490740738</v>
      </c>
      <c r="C143" s="8">
        <f t="shared" si="23"/>
        <v>45543.054490740738</v>
      </c>
      <c r="D143" s="9">
        <f t="shared" si="24"/>
        <v>5.4490740738401655E-2</v>
      </c>
      <c r="E143" s="1" t="s">
        <v>449</v>
      </c>
      <c r="F143" s="1" t="s">
        <v>174</v>
      </c>
      <c r="G143" s="1" t="str">
        <f t="shared" si="25"/>
        <v>Janet</v>
      </c>
      <c r="H143" s="1" t="s">
        <v>459</v>
      </c>
      <c r="I143" s="1" t="str">
        <f t="shared" si="26"/>
        <v>Akor</v>
      </c>
      <c r="J143" s="1" t="str">
        <f t="shared" si="21"/>
        <v>Janet Akor</v>
      </c>
      <c r="K143" s="1" t="str">
        <f t="shared" si="22"/>
        <v>Unique</v>
      </c>
      <c r="L143" s="1" t="str">
        <f t="shared" si="27"/>
        <v>janetakor@3mtt.com</v>
      </c>
      <c r="M143" s="1" t="s">
        <v>12</v>
      </c>
      <c r="N143" s="1" t="str">
        <f t="shared" si="28"/>
        <v>Female</v>
      </c>
      <c r="O143" s="1">
        <v>18</v>
      </c>
      <c r="P143" s="1">
        <v>16</v>
      </c>
      <c r="Q143" s="1">
        <v>50</v>
      </c>
      <c r="R143" s="2" cm="1">
        <f t="array" ref="R143">IF(AND(ISNUMBER(O143:Q143),SUM(O143:Q143)&lt;100),SUM(O143:Q143),"No Score")</f>
        <v>84</v>
      </c>
      <c r="S143" t="str" cm="1">
        <f t="array" ref="S143">_xlfn.IFS(AND(R143 &gt;=91,R143 &lt;=100),"A+",AND(R143 &gt;=71,R143 &lt;=90),"A",AND(R143 &gt;=61,R143 &lt;=70),"B",AND(R143 &gt;=51,R143 &lt;=60),"C",AND(R143 &gt;=40,R143 &lt;=50),"D",R143 &lt;40,"F",R143="No Score","No Grade",OR(R143&gt;100,R143&lt;0),"Invalid score")</f>
        <v>A</v>
      </c>
      <c r="T143" t="str" cm="1">
        <f t="array" ref="T143">_xlfn.IFS(S143="A+","Distinction",S143="A","Excellent", S143="B","Credit",S143="C","Very Good", S143="D","Good",S143="F","Poor",OR(S143="No Grade",S143="Invalid Score"),"No Remark")</f>
        <v>Excellent</v>
      </c>
    </row>
    <row r="144" spans="1:20" x14ac:dyDescent="0.2">
      <c r="A144" s="1" t="s">
        <v>460</v>
      </c>
      <c r="B144" s="7">
        <f t="shared" si="20"/>
        <v>45543.055034722223</v>
      </c>
      <c r="C144" s="8">
        <f t="shared" si="23"/>
        <v>45543.055034722223</v>
      </c>
      <c r="D144" s="9">
        <f t="shared" si="24"/>
        <v>5.5034722223354038E-2</v>
      </c>
      <c r="E144" s="1" t="s">
        <v>449</v>
      </c>
      <c r="F144" s="1" t="s">
        <v>461</v>
      </c>
      <c r="G144" s="1" t="str">
        <f t="shared" si="25"/>
        <v>Ebenezer</v>
      </c>
      <c r="H144" s="1" t="s">
        <v>462</v>
      </c>
      <c r="I144" s="1" t="str">
        <f t="shared" si="26"/>
        <v>Salami</v>
      </c>
      <c r="J144" s="1" t="str">
        <f t="shared" si="21"/>
        <v>Ebenezer Salami</v>
      </c>
      <c r="K144" s="1" t="str">
        <f t="shared" si="22"/>
        <v>Unique</v>
      </c>
      <c r="L144" s="1" t="str">
        <f t="shared" si="27"/>
        <v>ebenezersalami@3mtt.com</v>
      </c>
      <c r="M144" s="1" t="s">
        <v>21</v>
      </c>
      <c r="N144" s="1" t="str">
        <f t="shared" si="28"/>
        <v>Male</v>
      </c>
      <c r="O144" s="1">
        <v>14</v>
      </c>
      <c r="P144" s="1">
        <v>16</v>
      </c>
      <c r="Q144" s="1">
        <v>52</v>
      </c>
      <c r="R144" s="2" cm="1">
        <f t="array" ref="R144">IF(AND(ISNUMBER(O144:Q144),SUM(O144:Q144)&lt;100),SUM(O144:Q144),"No Score")</f>
        <v>82</v>
      </c>
      <c r="S144" t="str" cm="1">
        <f t="array" ref="S144">_xlfn.IFS(AND(R144 &gt;=91,R144 &lt;=100),"A+",AND(R144 &gt;=71,R144 &lt;=90),"A",AND(R144 &gt;=61,R144 &lt;=70),"B",AND(R144 &gt;=51,R144 &lt;=60),"C",AND(R144 &gt;=40,R144 &lt;=50),"D",R144 &lt;40,"F",R144="No Score","No Grade",OR(R144&gt;100,R144&lt;0),"Invalid score")</f>
        <v>A</v>
      </c>
      <c r="T144" t="str" cm="1">
        <f t="array" ref="T144">_xlfn.IFS(S144="A+","Distinction",S144="A","Excellent", S144="B","Credit",S144="C","Very Good", S144="D","Good",S144="F","Poor",OR(S144="No Grade",S144="Invalid Score"),"No Remark")</f>
        <v>Excellent</v>
      </c>
    </row>
    <row r="145" spans="1:20" x14ac:dyDescent="0.2">
      <c r="A145" s="1" t="s">
        <v>463</v>
      </c>
      <c r="B145" s="7">
        <f t="shared" si="20"/>
        <v>45543.134884259256</v>
      </c>
      <c r="C145" s="8">
        <f t="shared" si="23"/>
        <v>45543.134884259256</v>
      </c>
      <c r="D145" s="9">
        <f t="shared" si="24"/>
        <v>0.13488425925606862</v>
      </c>
      <c r="E145" s="1" t="s">
        <v>464</v>
      </c>
      <c r="F145" s="1" t="s">
        <v>154</v>
      </c>
      <c r="G145" s="1" t="str">
        <f t="shared" si="25"/>
        <v>John</v>
      </c>
      <c r="H145" s="1" t="s">
        <v>100</v>
      </c>
      <c r="I145" s="1" t="str">
        <f t="shared" si="26"/>
        <v>Paul</v>
      </c>
      <c r="J145" s="1" t="str">
        <f t="shared" si="21"/>
        <v>John Paul</v>
      </c>
      <c r="K145" s="1" t="str">
        <f t="shared" si="22"/>
        <v>Duplicate</v>
      </c>
      <c r="L145" s="1" t="str">
        <f t="shared" si="27"/>
        <v>johnpaul@3mtt.com</v>
      </c>
      <c r="M145" s="1" t="s">
        <v>21</v>
      </c>
      <c r="N145" s="1" t="str">
        <f t="shared" si="28"/>
        <v>Male</v>
      </c>
      <c r="O145" s="1">
        <v>20</v>
      </c>
      <c r="P145" s="1">
        <v>18</v>
      </c>
      <c r="Q145" s="1">
        <v>45</v>
      </c>
      <c r="R145" s="2" cm="1">
        <f t="array" ref="R145">IF(AND(ISNUMBER(O145:Q145),SUM(O145:Q145)&lt;100),SUM(O145:Q145),"No Score")</f>
        <v>83</v>
      </c>
      <c r="S145" t="str" cm="1">
        <f t="array" ref="S145">_xlfn.IFS(AND(R145 &gt;=91,R145 &lt;=100),"A+",AND(R145 &gt;=71,R145 &lt;=90),"A",AND(R145 &gt;=61,R145 &lt;=70),"B",AND(R145 &gt;=51,R145 &lt;=60),"C",AND(R145 &gt;=40,R145 &lt;=50),"D",R145 &lt;40,"F",R145="No Score","No Grade",OR(R145&gt;100,R145&lt;0),"Invalid score")</f>
        <v>A</v>
      </c>
      <c r="T145" t="str" cm="1">
        <f t="array" ref="T145">_xlfn.IFS(S145="A+","Distinction",S145="A","Excellent", S145="B","Credit",S145="C","Very Good", S145="D","Good",S145="F","Poor",OR(S145="No Grade",S145="Invalid Score"),"No Remark")</f>
        <v>Excellent</v>
      </c>
    </row>
    <row r="146" spans="1:20" x14ac:dyDescent="0.2">
      <c r="A146" s="1" t="s">
        <v>465</v>
      </c>
      <c r="B146" s="7">
        <f t="shared" si="20"/>
        <v>45543.135381944441</v>
      </c>
      <c r="C146" s="8">
        <f t="shared" si="23"/>
        <v>45543.135381944441</v>
      </c>
      <c r="D146" s="9">
        <f t="shared" si="24"/>
        <v>0.13538194444117835</v>
      </c>
      <c r="E146" s="1" t="s">
        <v>464</v>
      </c>
      <c r="F146" s="1" t="s">
        <v>466</v>
      </c>
      <c r="G146" s="1" t="str">
        <f t="shared" si="25"/>
        <v>Treasure</v>
      </c>
      <c r="H146" s="1" t="s">
        <v>467</v>
      </c>
      <c r="I146" s="1" t="str">
        <f t="shared" si="26"/>
        <v>Magnus</v>
      </c>
      <c r="J146" s="1" t="str">
        <f t="shared" si="21"/>
        <v>Treasure Magnus</v>
      </c>
      <c r="K146" s="1" t="str">
        <f t="shared" si="22"/>
        <v>Duplicate</v>
      </c>
      <c r="L146" s="1" t="str">
        <f t="shared" si="27"/>
        <v>treasuremagnus@3mtt.com</v>
      </c>
      <c r="M146" s="1" t="s">
        <v>12</v>
      </c>
      <c r="N146" s="1" t="str">
        <f t="shared" si="28"/>
        <v>Female</v>
      </c>
      <c r="O146" s="1">
        <v>15</v>
      </c>
      <c r="P146" s="1">
        <v>20</v>
      </c>
      <c r="Q146" s="1">
        <v>30</v>
      </c>
      <c r="R146" s="2" cm="1">
        <f t="array" ref="R146">IF(AND(ISNUMBER(O146:Q146),SUM(O146:Q146)&lt;100),SUM(O146:Q146),"No Score")</f>
        <v>65</v>
      </c>
      <c r="S146" t="str" cm="1">
        <f t="array" ref="S146">_xlfn.IFS(AND(R146 &gt;=91,R146 &lt;=100),"A+",AND(R146 &gt;=71,R146 &lt;=90),"A",AND(R146 &gt;=61,R146 &lt;=70),"B",AND(R146 &gt;=51,R146 &lt;=60),"C",AND(R146 &gt;=40,R146 &lt;=50),"D",R146 &lt;40,"F",R146="No Score","No Grade",OR(R146&gt;100,R146&lt;0),"Invalid score")</f>
        <v>B</v>
      </c>
      <c r="T146" t="str" cm="1">
        <f t="array" ref="T146">_xlfn.IFS(S146="A+","Distinction",S146="A","Excellent", S146="B","Credit",S146="C","Very Good", S146="D","Good",S146="F","Poor",OR(S146="No Grade",S146="Invalid Score"),"No Remark")</f>
        <v>Credit</v>
      </c>
    </row>
    <row r="147" spans="1:20" x14ac:dyDescent="0.2">
      <c r="A147" s="1" t="s">
        <v>468</v>
      </c>
      <c r="B147" s="7">
        <f t="shared" si="20"/>
        <v>45543.13585648148</v>
      </c>
      <c r="C147" s="8">
        <f t="shared" si="23"/>
        <v>45543.13585648148</v>
      </c>
      <c r="D147" s="9">
        <f t="shared" si="24"/>
        <v>0.13585648148000473</v>
      </c>
      <c r="E147" s="1" t="s">
        <v>464</v>
      </c>
      <c r="F147" s="1" t="s">
        <v>469</v>
      </c>
      <c r="G147" s="1" t="str">
        <f t="shared" si="25"/>
        <v>Femi</v>
      </c>
      <c r="H147" s="1" t="s">
        <v>470</v>
      </c>
      <c r="I147" s="1" t="str">
        <f t="shared" si="26"/>
        <v>Olusanya</v>
      </c>
      <c r="J147" s="1" t="str">
        <f t="shared" si="21"/>
        <v>Femi Olusanya</v>
      </c>
      <c r="K147" s="1" t="str">
        <f t="shared" si="22"/>
        <v>Duplicate</v>
      </c>
      <c r="L147" s="1" t="str">
        <f t="shared" si="27"/>
        <v>femiolusanya@3mtt.com</v>
      </c>
      <c r="M147" s="1" t="s">
        <v>21</v>
      </c>
      <c r="N147" s="1" t="str">
        <f t="shared" si="28"/>
        <v>Male</v>
      </c>
      <c r="O147" s="1">
        <v>10</v>
      </c>
      <c r="P147" s="1">
        <v>15</v>
      </c>
      <c r="Q147" s="1">
        <v>25</v>
      </c>
      <c r="R147" s="2" cm="1">
        <f t="array" ref="R147">IF(AND(ISNUMBER(O147:Q147),SUM(O147:Q147)&lt;100),SUM(O147:Q147),"No Score")</f>
        <v>50</v>
      </c>
      <c r="S147" t="str" cm="1">
        <f t="array" ref="S147">_xlfn.IFS(AND(R147 &gt;=91,R147 &lt;=100),"A+",AND(R147 &gt;=71,R147 &lt;=90),"A",AND(R147 &gt;=61,R147 &lt;=70),"B",AND(R147 &gt;=51,R147 &lt;=60),"C",AND(R147 &gt;=40,R147 &lt;=50),"D",R147 &lt;40,"F",R147="No Score","No Grade",OR(R147&gt;100,R147&lt;0),"Invalid score")</f>
        <v>D</v>
      </c>
      <c r="T147" t="str" cm="1">
        <f t="array" ref="T147">_xlfn.IFS(S147="A+","Distinction",S147="A","Excellent", S147="B","Credit",S147="C","Very Good", S147="D","Good",S147="F","Poor",OR(S147="No Grade",S147="Invalid Score"),"No Remark")</f>
        <v>Good</v>
      </c>
    </row>
    <row r="148" spans="1:20" x14ac:dyDescent="0.2">
      <c r="A148" s="1" t="s">
        <v>471</v>
      </c>
      <c r="B148" s="7">
        <f t="shared" si="20"/>
        <v>45543.136608796296</v>
      </c>
      <c r="C148" s="8">
        <f t="shared" si="23"/>
        <v>45543.136608796296</v>
      </c>
      <c r="D148" s="9">
        <f t="shared" si="24"/>
        <v>0.13660879629605915</v>
      </c>
      <c r="E148" s="1" t="s">
        <v>464</v>
      </c>
      <c r="F148" s="1" t="s">
        <v>472</v>
      </c>
      <c r="G148" s="1" t="str">
        <f t="shared" si="25"/>
        <v>Okoko</v>
      </c>
      <c r="H148" s="1" t="s">
        <v>473</v>
      </c>
      <c r="I148" s="1" t="str">
        <f t="shared" si="26"/>
        <v>Okon</v>
      </c>
      <c r="J148" s="1" t="str">
        <f t="shared" si="21"/>
        <v>Okoko Okon</v>
      </c>
      <c r="K148" s="1" t="str">
        <f t="shared" si="22"/>
        <v>Unique</v>
      </c>
      <c r="L148" s="1" t="str">
        <f t="shared" ref="L148:L192" si="29">_xlfn.CONCAT(LOWER(G148),LOWER(I148),"@3mtt.com")</f>
        <v>okokookon@3mtt.com</v>
      </c>
      <c r="M148" s="1" t="s">
        <v>21</v>
      </c>
      <c r="N148" s="1" t="str">
        <f t="shared" si="28"/>
        <v>Male</v>
      </c>
      <c r="O148" s="1">
        <v>16</v>
      </c>
      <c r="P148" s="1">
        <v>12</v>
      </c>
      <c r="Q148" s="1">
        <v>20</v>
      </c>
      <c r="R148" s="2" cm="1">
        <f t="array" ref="R148">IF(AND(ISNUMBER(O148:Q148),SUM(O148:Q148)&lt;100),SUM(O148:Q148),"No Score")</f>
        <v>48</v>
      </c>
      <c r="S148" t="str" cm="1">
        <f t="array" ref="S148">_xlfn.IFS(AND(R148 &gt;=91,R148 &lt;=100),"A+",AND(R148 &gt;=71,R148 &lt;=90),"A",AND(R148 &gt;=61,R148 &lt;=70),"B",AND(R148 &gt;=51,R148 &lt;=60),"C",AND(R148 &gt;=40,R148 &lt;=50),"D",R148 &lt;40,"F",R148="No Score","No Grade",OR(R148&gt;100,R148&lt;0),"Invalid score")</f>
        <v>D</v>
      </c>
      <c r="T148" t="str" cm="1">
        <f t="array" ref="T148">_xlfn.IFS(S148="A+","Distinction",S148="A","Excellent", S148="B","Credit",S148="C","Very Good", S148="D","Good",S148="F","Poor",OR(S148="No Grade",S148="Invalid Score"),"No Remark")</f>
        <v>Good</v>
      </c>
    </row>
    <row r="149" spans="1:20" x14ac:dyDescent="0.2">
      <c r="A149" s="1" t="s">
        <v>474</v>
      </c>
      <c r="B149" s="7">
        <f t="shared" si="20"/>
        <v>45543.137083333335</v>
      </c>
      <c r="C149" s="8">
        <f t="shared" si="23"/>
        <v>45543.137083333335</v>
      </c>
      <c r="D149" s="9">
        <f t="shared" si="24"/>
        <v>0.13708333333488554</v>
      </c>
      <c r="E149" s="1" t="s">
        <v>464</v>
      </c>
      <c r="F149" s="1" t="s">
        <v>475</v>
      </c>
      <c r="G149" s="1" t="str">
        <f t="shared" si="25"/>
        <v>Titilayo</v>
      </c>
      <c r="H149" s="1" t="s">
        <v>476</v>
      </c>
      <c r="I149" s="1" t="str">
        <f t="shared" si="26"/>
        <v>Kalu</v>
      </c>
      <c r="J149" s="1" t="str">
        <f t="shared" si="21"/>
        <v>Titilayo Kalu</v>
      </c>
      <c r="K149" s="1" t="str">
        <f t="shared" si="22"/>
        <v>Duplicate</v>
      </c>
      <c r="L149" s="1" t="str">
        <f t="shared" si="29"/>
        <v>titilayokalu@3mtt.com</v>
      </c>
      <c r="M149" s="1" t="s">
        <v>12</v>
      </c>
      <c r="N149" s="1" t="str">
        <f t="shared" si="28"/>
        <v>Female</v>
      </c>
      <c r="O149" s="1">
        <v>20</v>
      </c>
      <c r="P149" s="1">
        <v>20</v>
      </c>
      <c r="Q149" s="1">
        <v>42</v>
      </c>
      <c r="R149" s="2" cm="1">
        <f t="array" ref="R149">IF(AND(ISNUMBER(O149:Q149),SUM(O149:Q149)&lt;100),SUM(O149:Q149),"No Score")</f>
        <v>82</v>
      </c>
      <c r="S149" t="str" cm="1">
        <f t="array" ref="S149">_xlfn.IFS(AND(R149 &gt;=91,R149 &lt;=100),"A+",AND(R149 &gt;=71,R149 &lt;=90),"A",AND(R149 &gt;=61,R149 &lt;=70),"B",AND(R149 &gt;=51,R149 &lt;=60),"C",AND(R149 &gt;=40,R149 &lt;=50),"D",R149 &lt;40,"F",R149="No Score","No Grade",OR(R149&gt;100,R149&lt;0),"Invalid score")</f>
        <v>A</v>
      </c>
      <c r="T149" t="str" cm="1">
        <f t="array" ref="T149">_xlfn.IFS(S149="A+","Distinction",S149="A","Excellent", S149="B","Credit",S149="C","Very Good", S149="D","Good",S149="F","Poor",OR(S149="No Grade",S149="Invalid Score"),"No Remark")</f>
        <v>Excellent</v>
      </c>
    </row>
    <row r="150" spans="1:20" x14ac:dyDescent="0.2">
      <c r="A150" s="1" t="s">
        <v>478</v>
      </c>
      <c r="B150" s="7">
        <f t="shared" si="20"/>
        <v>45543.225694444445</v>
      </c>
      <c r="C150" s="8">
        <f t="shared" si="23"/>
        <v>45543.225694444445</v>
      </c>
      <c r="D150" s="9">
        <f t="shared" si="24"/>
        <v>0.22569444444525288</v>
      </c>
      <c r="E150" s="1" t="s">
        <v>479</v>
      </c>
      <c r="F150" s="1" t="s">
        <v>107</v>
      </c>
      <c r="G150" s="1" t="str">
        <f t="shared" si="25"/>
        <v>Musa</v>
      </c>
      <c r="H150" s="1" t="s">
        <v>480</v>
      </c>
      <c r="I150" s="1" t="str">
        <f t="shared" si="26"/>
        <v>Shehu</v>
      </c>
      <c r="J150" s="1" t="str">
        <f t="shared" si="21"/>
        <v>Musa Shehu</v>
      </c>
      <c r="K150" s="1" t="str">
        <f t="shared" si="22"/>
        <v>Unique</v>
      </c>
      <c r="L150" s="1" t="str">
        <f t="shared" si="29"/>
        <v>musashehu@3mtt.com</v>
      </c>
      <c r="M150" s="1" t="s">
        <v>21</v>
      </c>
      <c r="N150" s="1" t="str">
        <f t="shared" si="28"/>
        <v>Male</v>
      </c>
      <c r="O150" s="1">
        <v>15</v>
      </c>
      <c r="P150" s="1">
        <v>16</v>
      </c>
      <c r="Q150" s="1">
        <v>44</v>
      </c>
      <c r="R150" s="2" cm="1">
        <f t="array" ref="R150">IF(AND(ISNUMBER(O150:Q150),SUM(O150:Q150)&lt;100),SUM(O150:Q150),"No Score")</f>
        <v>75</v>
      </c>
      <c r="S150" t="str" cm="1">
        <f t="array" ref="S150">_xlfn.IFS(AND(R150 &gt;=91,R150 &lt;=100),"A+",AND(R150 &gt;=71,R150 &lt;=90),"A",AND(R150 &gt;=61,R150 &lt;=70),"B",AND(R150 &gt;=51,R150 &lt;=60),"C",AND(R150 &gt;=40,R150 &lt;=50),"D",R150 &lt;40,"F",R150="No Score","No Grade",OR(R150&gt;100,R150&lt;0),"Invalid score")</f>
        <v>A</v>
      </c>
      <c r="T150" t="str" cm="1">
        <f t="array" ref="T150">_xlfn.IFS(S150="A+","Distinction",S150="A","Excellent", S150="B","Credit",S150="C","Very Good", S150="D","Good",S150="F","Poor",OR(S150="No Grade",S150="Invalid Score"),"No Remark")</f>
        <v>Excellent</v>
      </c>
    </row>
    <row r="151" spans="1:20" x14ac:dyDescent="0.2">
      <c r="A151" s="1" t="s">
        <v>481</v>
      </c>
      <c r="B151" s="7">
        <f t="shared" si="20"/>
        <v>45543.226145833331</v>
      </c>
      <c r="C151" s="8">
        <f t="shared" si="23"/>
        <v>45543.226145833331</v>
      </c>
      <c r="D151" s="9">
        <f t="shared" si="24"/>
        <v>0.22614583333051996</v>
      </c>
      <c r="E151" s="1" t="s">
        <v>479</v>
      </c>
      <c r="F151" s="1" t="s">
        <v>154</v>
      </c>
      <c r="G151" s="1" t="str">
        <f t="shared" si="25"/>
        <v>John</v>
      </c>
      <c r="H151" s="1" t="s">
        <v>157</v>
      </c>
      <c r="I151" s="1" t="str">
        <f t="shared" si="26"/>
        <v>Abraham</v>
      </c>
      <c r="J151" s="1" t="str">
        <f t="shared" si="21"/>
        <v>John Abraham</v>
      </c>
      <c r="K151" s="1" t="str">
        <f t="shared" si="22"/>
        <v>Unique</v>
      </c>
      <c r="L151" s="1" t="str">
        <f t="shared" si="29"/>
        <v>johnabraham@3mtt.com</v>
      </c>
      <c r="M151" s="1" t="s">
        <v>21</v>
      </c>
      <c r="N151" s="1" t="str">
        <f t="shared" si="28"/>
        <v>Male</v>
      </c>
      <c r="O151" s="1">
        <v>10</v>
      </c>
      <c r="P151" s="1">
        <v>12</v>
      </c>
      <c r="Q151" s="1">
        <v>34</v>
      </c>
      <c r="R151" s="2" cm="1">
        <f t="array" ref="R151">IF(AND(ISNUMBER(O151:Q151),SUM(O151:Q151)&lt;100),SUM(O151:Q151),"No Score")</f>
        <v>56</v>
      </c>
      <c r="S151" t="str" cm="1">
        <f t="array" ref="S151">_xlfn.IFS(AND(R151 &gt;=91,R151 &lt;=100),"A+",AND(R151 &gt;=71,R151 &lt;=90),"A",AND(R151 &gt;=61,R151 &lt;=70),"B",AND(R151 &gt;=51,R151 &lt;=60),"C",AND(R151 &gt;=40,R151 &lt;=50),"D",R151 &lt;40,"F",R151="No Score","No Grade",OR(R151&gt;100,R151&lt;0),"Invalid score")</f>
        <v>C</v>
      </c>
      <c r="T151" t="str" cm="1">
        <f t="array" ref="T151">_xlfn.IFS(S151="A+","Distinction",S151="A","Excellent", S151="B","Credit",S151="C","Very Good", S151="D","Good",S151="F","Poor",OR(S151="No Grade",S151="Invalid Score"),"No Remark")</f>
        <v>Very Good</v>
      </c>
    </row>
    <row r="152" spans="1:20" x14ac:dyDescent="0.2">
      <c r="A152" s="1" t="s">
        <v>482</v>
      </c>
      <c r="B152" s="7">
        <f t="shared" si="20"/>
        <v>45543.226585648146</v>
      </c>
      <c r="C152" s="8">
        <f t="shared" si="23"/>
        <v>45543.226585648146</v>
      </c>
      <c r="D152" s="9">
        <f t="shared" si="24"/>
        <v>0.22658564814628335</v>
      </c>
      <c r="E152" s="1" t="s">
        <v>479</v>
      </c>
      <c r="F152" s="1" t="s">
        <v>483</v>
      </c>
      <c r="G152" s="1" t="str">
        <f t="shared" si="25"/>
        <v>Linda</v>
      </c>
      <c r="H152" s="1" t="s">
        <v>484</v>
      </c>
      <c r="I152" s="1" t="str">
        <f t="shared" si="26"/>
        <v>Thomas</v>
      </c>
      <c r="J152" s="1" t="str">
        <f t="shared" si="21"/>
        <v>Linda Thomas</v>
      </c>
      <c r="K152" s="1" t="str">
        <f t="shared" si="22"/>
        <v>Unique</v>
      </c>
      <c r="L152" s="1" t="str">
        <f t="shared" si="29"/>
        <v>lindathomas@3mtt.com</v>
      </c>
      <c r="M152" s="1" t="s">
        <v>12</v>
      </c>
      <c r="N152" s="1" t="str">
        <f t="shared" si="28"/>
        <v>Female</v>
      </c>
      <c r="O152" s="1">
        <v>17</v>
      </c>
      <c r="P152" s="1">
        <v>20</v>
      </c>
      <c r="Q152" s="1">
        <v>39</v>
      </c>
      <c r="R152" s="2" cm="1">
        <f t="array" ref="R152">IF(AND(ISNUMBER(O152:Q152),SUM(O152:Q152)&lt;100),SUM(O152:Q152),"No Score")</f>
        <v>76</v>
      </c>
      <c r="S152" t="str" cm="1">
        <f t="array" ref="S152">_xlfn.IFS(AND(R152 &gt;=91,R152 &lt;=100),"A+",AND(R152 &gt;=71,R152 &lt;=90),"A",AND(R152 &gt;=61,R152 &lt;=70),"B",AND(R152 &gt;=51,R152 &lt;=60),"C",AND(R152 &gt;=40,R152 &lt;=50),"D",R152 &lt;40,"F",R152="No Score","No Grade",OR(R152&gt;100,R152&lt;0),"Invalid score")</f>
        <v>A</v>
      </c>
      <c r="T152" t="str" cm="1">
        <f t="array" ref="T152">_xlfn.IFS(S152="A+","Distinction",S152="A","Excellent", S152="B","Credit",S152="C","Very Good", S152="D","Good",S152="F","Poor",OR(S152="No Grade",S152="Invalid Score"),"No Remark")</f>
        <v>Excellent</v>
      </c>
    </row>
    <row r="153" spans="1:20" x14ac:dyDescent="0.2">
      <c r="A153" s="1" t="s">
        <v>485</v>
      </c>
      <c r="B153" s="7">
        <f t="shared" si="20"/>
        <v>45543.227037037039</v>
      </c>
      <c r="C153" s="8">
        <f t="shared" si="23"/>
        <v>45543.227037037039</v>
      </c>
      <c r="D153" s="9">
        <f t="shared" si="24"/>
        <v>0.22703703703882638</v>
      </c>
      <c r="E153" s="1" t="s">
        <v>479</v>
      </c>
      <c r="F153" s="1" t="s">
        <v>486</v>
      </c>
      <c r="G153" s="1" t="str">
        <f t="shared" si="25"/>
        <v>Hauwa</v>
      </c>
      <c r="H153" s="1" t="s">
        <v>52</v>
      </c>
      <c r="I153" s="1" t="str">
        <f t="shared" si="26"/>
        <v>David</v>
      </c>
      <c r="J153" s="1" t="str">
        <f t="shared" si="21"/>
        <v>Hauwa David</v>
      </c>
      <c r="K153" s="1" t="str">
        <f t="shared" si="22"/>
        <v>Unique</v>
      </c>
      <c r="L153" s="1" t="str">
        <f t="shared" si="29"/>
        <v>hauwadavid@3mtt.com</v>
      </c>
      <c r="M153" s="1" t="s">
        <v>12</v>
      </c>
      <c r="N153" s="1" t="str">
        <f t="shared" si="28"/>
        <v>Female</v>
      </c>
      <c r="O153" s="1">
        <v>18</v>
      </c>
      <c r="P153" s="1">
        <v>12</v>
      </c>
      <c r="Q153" s="1">
        <v>45</v>
      </c>
      <c r="R153" s="2" cm="1">
        <f t="array" ref="R153">IF(AND(ISNUMBER(O153:Q153),SUM(O153:Q153)&lt;100),SUM(O153:Q153),"No Score")</f>
        <v>75</v>
      </c>
      <c r="S153" t="str" cm="1">
        <f t="array" ref="S153">_xlfn.IFS(AND(R153 &gt;=91,R153 &lt;=100),"A+",AND(R153 &gt;=71,R153 &lt;=90),"A",AND(R153 &gt;=61,R153 &lt;=70),"B",AND(R153 &gt;=51,R153 &lt;=60),"C",AND(R153 &gt;=40,R153 &lt;=50),"D",R153 &lt;40,"F",R153="No Score","No Grade",OR(R153&gt;100,R153&lt;0),"Invalid score")</f>
        <v>A</v>
      </c>
      <c r="T153" t="str" cm="1">
        <f t="array" ref="T153">_xlfn.IFS(S153="A+","Distinction",S153="A","Excellent", S153="B","Credit",S153="C","Very Good", S153="D","Good",S153="F","Poor",OR(S153="No Grade",S153="Invalid Score"),"No Remark")</f>
        <v>Excellent</v>
      </c>
    </row>
    <row r="154" spans="1:20" x14ac:dyDescent="0.2">
      <c r="A154" s="1" t="s">
        <v>487</v>
      </c>
      <c r="B154" s="7">
        <f t="shared" si="20"/>
        <v>45543.238275462965</v>
      </c>
      <c r="C154" s="8">
        <f t="shared" si="23"/>
        <v>45543.238275462965</v>
      </c>
      <c r="D154" s="9">
        <f t="shared" si="24"/>
        <v>0.23827546296524815</v>
      </c>
      <c r="E154" s="1" t="s">
        <v>479</v>
      </c>
      <c r="F154" s="1" t="s">
        <v>422</v>
      </c>
      <c r="G154" s="1" t="str">
        <f t="shared" si="25"/>
        <v>Umar</v>
      </c>
      <c r="H154" s="1" t="s">
        <v>386</v>
      </c>
      <c r="I154" s="1" t="str">
        <f t="shared" si="26"/>
        <v>Nasir</v>
      </c>
      <c r="J154" s="1" t="str">
        <f t="shared" si="21"/>
        <v>Umar Nasir</v>
      </c>
      <c r="K154" s="1" t="str">
        <f t="shared" si="22"/>
        <v>Unique</v>
      </c>
      <c r="L154" s="1" t="str">
        <f t="shared" si="29"/>
        <v>umarnasir@3mtt.com</v>
      </c>
      <c r="M154" s="1" t="s">
        <v>21</v>
      </c>
      <c r="N154" s="1" t="str">
        <f t="shared" si="28"/>
        <v>Male</v>
      </c>
      <c r="O154" s="1">
        <v>13</v>
      </c>
      <c r="P154" s="1">
        <v>20</v>
      </c>
      <c r="Q154" s="1">
        <v>42</v>
      </c>
      <c r="R154" s="2" cm="1">
        <f t="array" ref="R154">IF(AND(ISNUMBER(O154:Q154),SUM(O154:Q154)&lt;100),SUM(O154:Q154),"No Score")</f>
        <v>75</v>
      </c>
      <c r="S154" t="str" cm="1">
        <f t="array" ref="S154">_xlfn.IFS(AND(R154 &gt;=91,R154 &lt;=100),"A+",AND(R154 &gt;=71,R154 &lt;=90),"A",AND(R154 &gt;=61,R154 &lt;=70),"B",AND(R154 &gt;=51,R154 &lt;=60),"C",AND(R154 &gt;=40,R154 &lt;=50),"D",R154 &lt;40,"F",R154="No Score","No Grade",OR(R154&gt;100,R154&lt;0),"Invalid score")</f>
        <v>A</v>
      </c>
      <c r="T154" t="str" cm="1">
        <f t="array" ref="T154">_xlfn.IFS(S154="A+","Distinction",S154="A","Excellent", S154="B","Credit",S154="C","Very Good", S154="D","Good",S154="F","Poor",OR(S154="No Grade",S154="Invalid Score"),"No Remark")</f>
        <v>Excellent</v>
      </c>
    </row>
    <row r="155" spans="1:20" x14ac:dyDescent="0.2">
      <c r="A155" s="1" t="s">
        <v>488</v>
      </c>
      <c r="B155" s="7">
        <f t="shared" si="20"/>
        <v>45543.332766203705</v>
      </c>
      <c r="C155" s="8">
        <f t="shared" si="23"/>
        <v>45543.332766203705</v>
      </c>
      <c r="D155" s="9">
        <f t="shared" si="24"/>
        <v>0.33276620370452292</v>
      </c>
      <c r="E155" s="1" t="s">
        <v>489</v>
      </c>
      <c r="F155" s="1" t="s">
        <v>490</v>
      </c>
      <c r="G155" s="1" t="str">
        <f t="shared" si="25"/>
        <v>Lyon</v>
      </c>
      <c r="H155" s="1" t="s">
        <v>342</v>
      </c>
      <c r="I155" s="1" t="str">
        <f t="shared" si="26"/>
        <v>Timothy</v>
      </c>
      <c r="J155" s="1" t="str">
        <f t="shared" si="21"/>
        <v>Lyon Timothy</v>
      </c>
      <c r="K155" s="1" t="str">
        <f t="shared" si="22"/>
        <v>Unique</v>
      </c>
      <c r="L155" s="1" t="str">
        <f t="shared" si="29"/>
        <v>lyontimothy@3mtt.com</v>
      </c>
      <c r="M155" s="1" t="s">
        <v>21</v>
      </c>
      <c r="N155" s="1" t="str">
        <f t="shared" si="28"/>
        <v>Male</v>
      </c>
      <c r="O155" s="1">
        <v>18</v>
      </c>
      <c r="P155" s="1">
        <v>16</v>
      </c>
      <c r="Q155" s="1">
        <v>52</v>
      </c>
      <c r="R155" s="2" cm="1">
        <f t="array" ref="R155">IF(AND(ISNUMBER(O155:Q155),SUM(O155:Q155)&lt;100),SUM(O155:Q155),"No Score")</f>
        <v>86</v>
      </c>
      <c r="S155" t="str" cm="1">
        <f t="array" ref="S155">_xlfn.IFS(AND(R155 &gt;=91,R155 &lt;=100),"A+",AND(R155 &gt;=71,R155 &lt;=90),"A",AND(R155 &gt;=61,R155 &lt;=70),"B",AND(R155 &gt;=51,R155 &lt;=60),"C",AND(R155 &gt;=40,R155 &lt;=50),"D",R155 &lt;40,"F",R155="No Score","No Grade",OR(R155&gt;100,R155&lt;0),"Invalid score")</f>
        <v>A</v>
      </c>
      <c r="T155" t="str" cm="1">
        <f t="array" ref="T155">_xlfn.IFS(S155="A+","Distinction",S155="A","Excellent", S155="B","Credit",S155="C","Very Good", S155="D","Good",S155="F","Poor",OR(S155="No Grade",S155="Invalid Score"),"No Remark")</f>
        <v>Excellent</v>
      </c>
    </row>
    <row r="156" spans="1:20" x14ac:dyDescent="0.2">
      <c r="A156" s="1" t="s">
        <v>491</v>
      </c>
      <c r="B156" s="7">
        <f t="shared" si="20"/>
        <v>45543.335868055554</v>
      </c>
      <c r="C156" s="8">
        <f t="shared" si="23"/>
        <v>45543.335868055554</v>
      </c>
      <c r="D156" s="9">
        <f t="shared" si="24"/>
        <v>0.335868055553874</v>
      </c>
      <c r="E156" s="1" t="s">
        <v>489</v>
      </c>
      <c r="F156" s="1" t="s">
        <v>356</v>
      </c>
      <c r="G156" s="1" t="str">
        <f t="shared" si="25"/>
        <v>Mirabel</v>
      </c>
      <c r="H156" s="1" t="s">
        <v>492</v>
      </c>
      <c r="I156" s="1" t="str">
        <f t="shared" si="26"/>
        <v>Oladele</v>
      </c>
      <c r="J156" s="1" t="str">
        <f t="shared" si="21"/>
        <v>Mirabel Oladele</v>
      </c>
      <c r="K156" s="1" t="str">
        <f t="shared" si="22"/>
        <v>Unique</v>
      </c>
      <c r="L156" s="1" t="str">
        <f t="shared" si="29"/>
        <v>mirabeloladele@3mtt.com</v>
      </c>
      <c r="M156" s="1" t="s">
        <v>12</v>
      </c>
      <c r="N156" s="1" t="str">
        <f t="shared" si="28"/>
        <v>Female</v>
      </c>
      <c r="O156" s="1">
        <v>13</v>
      </c>
      <c r="P156" s="1">
        <v>12</v>
      </c>
      <c r="Q156" s="1">
        <v>49</v>
      </c>
      <c r="R156" s="2" cm="1">
        <f t="array" ref="R156">IF(AND(ISNUMBER(O156:Q156),SUM(O156:Q156)&lt;100),SUM(O156:Q156),"No Score")</f>
        <v>74</v>
      </c>
      <c r="S156" t="str" cm="1">
        <f t="array" ref="S156">_xlfn.IFS(AND(R156 &gt;=91,R156 &lt;=100),"A+",AND(R156 &gt;=71,R156 &lt;=90),"A",AND(R156 &gt;=61,R156 &lt;=70),"B",AND(R156 &gt;=51,R156 &lt;=60),"C",AND(R156 &gt;=40,R156 &lt;=50),"D",R156 &lt;40,"F",R156="No Score","No Grade",OR(R156&gt;100,R156&lt;0),"Invalid score")</f>
        <v>A</v>
      </c>
      <c r="T156" t="str" cm="1">
        <f t="array" ref="T156">_xlfn.IFS(S156="A+","Distinction",S156="A","Excellent", S156="B","Credit",S156="C","Very Good", S156="D","Good",S156="F","Poor",OR(S156="No Grade",S156="Invalid Score"),"No Remark")</f>
        <v>Excellent</v>
      </c>
    </row>
    <row r="157" spans="1:20" x14ac:dyDescent="0.2">
      <c r="A157" s="1" t="s">
        <v>493</v>
      </c>
      <c r="B157" s="7">
        <f t="shared" si="20"/>
        <v>45543.336527777778</v>
      </c>
      <c r="C157" s="8">
        <f t="shared" si="23"/>
        <v>45543.336527777778</v>
      </c>
      <c r="D157" s="9">
        <f t="shared" si="24"/>
        <v>0.33652777777751908</v>
      </c>
      <c r="E157" s="1" t="s">
        <v>489</v>
      </c>
      <c r="F157" s="1" t="s">
        <v>494</v>
      </c>
      <c r="G157" s="1" t="str">
        <f t="shared" si="25"/>
        <v>Stephanie</v>
      </c>
      <c r="H157" s="1" t="s">
        <v>495</v>
      </c>
      <c r="I157" s="1" t="str">
        <f t="shared" si="26"/>
        <v>Dokpesi</v>
      </c>
      <c r="J157" s="1" t="str">
        <f t="shared" si="21"/>
        <v>Stephanie Dokpesi</v>
      </c>
      <c r="K157" s="1" t="str">
        <f t="shared" si="22"/>
        <v>Unique</v>
      </c>
      <c r="L157" s="1" t="str">
        <f t="shared" si="29"/>
        <v>stephaniedokpesi@3mtt.com</v>
      </c>
      <c r="M157" s="1" t="s">
        <v>496</v>
      </c>
      <c r="N157" s="1" t="str">
        <f t="shared" si="28"/>
        <v>Female</v>
      </c>
      <c r="O157" s="1">
        <v>19</v>
      </c>
      <c r="P157" s="1">
        <v>20</v>
      </c>
      <c r="Q157" s="1">
        <v>57</v>
      </c>
      <c r="R157" s="2" cm="1">
        <f t="array" ref="R157">IF(AND(ISNUMBER(O157:Q157),SUM(O157:Q157)&lt;100),SUM(O157:Q157),"No Score")</f>
        <v>96</v>
      </c>
      <c r="S157" t="str" cm="1">
        <f t="array" ref="S157">_xlfn.IFS(AND(R157 &gt;=91,R157 &lt;=100),"A+",AND(R157 &gt;=71,R157 &lt;=90),"A",AND(R157 &gt;=61,R157 &lt;=70),"B",AND(R157 &gt;=51,R157 &lt;=60),"C",AND(R157 &gt;=40,R157 &lt;=50),"D",R157 &lt;40,"F",R157="No Score","No Grade",OR(R157&gt;100,R157&lt;0),"Invalid score")</f>
        <v>A+</v>
      </c>
      <c r="T157" t="str" cm="1">
        <f t="array" ref="T157">_xlfn.IFS(S157="A+","Distinction",S157="A","Excellent", S157="B","Credit",S157="C","Very Good", S157="D","Good",S157="F","Poor",OR(S157="No Grade",S157="Invalid Score"),"No Remark")</f>
        <v>Distinction</v>
      </c>
    </row>
    <row r="158" spans="1:20" x14ac:dyDescent="0.2">
      <c r="A158" s="1" t="s">
        <v>497</v>
      </c>
      <c r="B158" s="7">
        <f t="shared" si="20"/>
        <v>45543.337094907409</v>
      </c>
      <c r="C158" s="8">
        <f t="shared" si="23"/>
        <v>45543.337094907409</v>
      </c>
      <c r="D158" s="9">
        <f t="shared" si="24"/>
        <v>0.33709490740875481</v>
      </c>
      <c r="E158" s="1" t="s">
        <v>489</v>
      </c>
      <c r="F158" s="1" t="s">
        <v>498</v>
      </c>
      <c r="G158" s="1" t="str">
        <f t="shared" si="25"/>
        <v>Joshua</v>
      </c>
      <c r="H158" s="1" t="s">
        <v>499</v>
      </c>
      <c r="I158" s="1" t="str">
        <f t="shared" si="26"/>
        <v>Owolabi</v>
      </c>
      <c r="J158" s="1" t="str">
        <f t="shared" si="21"/>
        <v>Joshua Owolabi</v>
      </c>
      <c r="K158" s="1" t="str">
        <f t="shared" si="22"/>
        <v>Unique</v>
      </c>
      <c r="L158" s="1" t="str">
        <f t="shared" si="29"/>
        <v>joshuaowolabi@3mtt.com</v>
      </c>
      <c r="M158" s="1" t="s">
        <v>169</v>
      </c>
      <c r="N158" s="1" t="str">
        <f t="shared" si="28"/>
        <v>Male</v>
      </c>
      <c r="O158" s="1">
        <v>12</v>
      </c>
      <c r="P158" s="1">
        <v>10</v>
      </c>
      <c r="Q158" s="1">
        <v>50</v>
      </c>
      <c r="R158" s="2" cm="1">
        <f t="array" ref="R158">IF(AND(ISNUMBER(O158:Q158),SUM(O158:Q158)&lt;100),SUM(O158:Q158),"No Score")</f>
        <v>72</v>
      </c>
      <c r="S158" t="str" cm="1">
        <f t="array" ref="S158">_xlfn.IFS(AND(R158 &gt;=91,R158 &lt;=100),"A+",AND(R158 &gt;=71,R158 &lt;=90),"A",AND(R158 &gt;=61,R158 &lt;=70),"B",AND(R158 &gt;=51,R158 &lt;=60),"C",AND(R158 &gt;=40,R158 &lt;=50),"D",R158 &lt;40,"F",R158="No Score","No Grade",OR(R158&gt;100,R158&lt;0),"Invalid score")</f>
        <v>A</v>
      </c>
      <c r="T158" t="str" cm="1">
        <f t="array" ref="T158">_xlfn.IFS(S158="A+","Distinction",S158="A","Excellent", S158="B","Credit",S158="C","Very Good", S158="D","Good",S158="F","Poor",OR(S158="No Grade",S158="Invalid Score"),"No Remark")</f>
        <v>Excellent</v>
      </c>
    </row>
    <row r="159" spans="1:20" x14ac:dyDescent="0.2">
      <c r="A159" s="1" t="s">
        <v>500</v>
      </c>
      <c r="B159" s="7">
        <f t="shared" si="20"/>
        <v>45543.338020833333</v>
      </c>
      <c r="C159" s="8">
        <f t="shared" si="23"/>
        <v>45543.338020833333</v>
      </c>
      <c r="D159" s="9">
        <f t="shared" si="24"/>
        <v>0.33802083333284827</v>
      </c>
      <c r="E159" s="1" t="s">
        <v>489</v>
      </c>
      <c r="F159" s="1" t="s">
        <v>501</v>
      </c>
      <c r="G159" s="1" t="str">
        <f t="shared" si="25"/>
        <v>Frances</v>
      </c>
      <c r="H159" s="1" t="s">
        <v>502</v>
      </c>
      <c r="I159" s="1" t="str">
        <f t="shared" si="26"/>
        <v>Brown</v>
      </c>
      <c r="J159" s="1" t="str">
        <f t="shared" si="21"/>
        <v>Frances Brown</v>
      </c>
      <c r="K159" s="1" t="str">
        <f t="shared" si="22"/>
        <v>Unique</v>
      </c>
      <c r="L159" s="1" t="str">
        <f t="shared" si="29"/>
        <v>francesbrown@3mtt.com</v>
      </c>
      <c r="M159" s="1" t="s">
        <v>496</v>
      </c>
      <c r="N159" s="1" t="str">
        <f t="shared" si="28"/>
        <v>Female</v>
      </c>
      <c r="O159" s="1">
        <v>15</v>
      </c>
      <c r="P159" s="1">
        <v>16</v>
      </c>
      <c r="Q159" s="1">
        <v>58</v>
      </c>
      <c r="R159" s="2" cm="1">
        <f t="array" ref="R159">IF(AND(ISNUMBER(O159:Q159),SUM(O159:Q159)&lt;100),SUM(O159:Q159),"No Score")</f>
        <v>89</v>
      </c>
      <c r="S159" t="str" cm="1">
        <f t="array" ref="S159">_xlfn.IFS(AND(R159 &gt;=91,R159 &lt;=100),"A+",AND(R159 &gt;=71,R159 &lt;=90),"A",AND(R159 &gt;=61,R159 &lt;=70),"B",AND(R159 &gt;=51,R159 &lt;=60),"C",AND(R159 &gt;=40,R159 &lt;=50),"D",R159 &lt;40,"F",R159="No Score","No Grade",OR(R159&gt;100,R159&lt;0),"Invalid score")</f>
        <v>A</v>
      </c>
      <c r="T159" t="str" cm="1">
        <f t="array" ref="T159">_xlfn.IFS(S159="A+","Distinction",S159="A","Excellent", S159="B","Credit",S159="C","Very Good", S159="D","Good",S159="F","Poor",OR(S159="No Grade",S159="Invalid Score"),"No Remark")</f>
        <v>Excellent</v>
      </c>
    </row>
    <row r="160" spans="1:20" x14ac:dyDescent="0.2">
      <c r="A160" s="1" t="s">
        <v>503</v>
      </c>
      <c r="B160" s="7">
        <f t="shared" si="20"/>
        <v>45543.386944444443</v>
      </c>
      <c r="C160" s="8">
        <f t="shared" si="23"/>
        <v>45543.386944444443</v>
      </c>
      <c r="D160" s="9">
        <f t="shared" si="24"/>
        <v>0.38694444444263354</v>
      </c>
      <c r="E160" s="1" t="s">
        <v>504</v>
      </c>
      <c r="F160" s="1" t="s">
        <v>505</v>
      </c>
      <c r="G160" s="1" t="str">
        <f t="shared" si="25"/>
        <v>Abubakar</v>
      </c>
      <c r="H160" s="1" t="s">
        <v>506</v>
      </c>
      <c r="I160" s="1" t="str">
        <f t="shared" si="26"/>
        <v>Bakundi</v>
      </c>
      <c r="J160" s="1" t="str">
        <f t="shared" si="21"/>
        <v>Abubakar Bakundi</v>
      </c>
      <c r="K160" s="1" t="str">
        <f t="shared" si="22"/>
        <v>Unique</v>
      </c>
      <c r="L160" s="1" t="str">
        <f t="shared" si="29"/>
        <v>abubakarbakundi@3mtt.com</v>
      </c>
      <c r="M160" s="1" t="s">
        <v>21</v>
      </c>
      <c r="N160" s="1" t="str">
        <f t="shared" si="28"/>
        <v>Male</v>
      </c>
      <c r="O160" s="1">
        <v>14</v>
      </c>
      <c r="P160" s="1">
        <v>16</v>
      </c>
      <c r="Q160" s="1">
        <v>48</v>
      </c>
      <c r="R160" s="2" cm="1">
        <f t="array" ref="R160">IF(AND(ISNUMBER(O160:Q160),SUM(O160:Q160)&lt;100),SUM(O160:Q160),"No Score")</f>
        <v>78</v>
      </c>
      <c r="S160" t="str" cm="1">
        <f t="array" ref="S160">_xlfn.IFS(AND(R160 &gt;=91,R160 &lt;=100),"A+",AND(R160 &gt;=71,R160 &lt;=90),"A",AND(R160 &gt;=61,R160 &lt;=70),"B",AND(R160 &gt;=51,R160 &lt;=60),"C",AND(R160 &gt;=40,R160 &lt;=50),"D",R160 &lt;40,"F",R160="No Score","No Grade",OR(R160&gt;100,R160&lt;0),"Invalid score")</f>
        <v>A</v>
      </c>
      <c r="T160" t="str" cm="1">
        <f t="array" ref="T160">_xlfn.IFS(S160="A+","Distinction",S160="A","Excellent", S160="B","Credit",S160="C","Very Good", S160="D","Good",S160="F","Poor",OR(S160="No Grade",S160="Invalid Score"),"No Remark")</f>
        <v>Excellent</v>
      </c>
    </row>
    <row r="161" spans="1:20" x14ac:dyDescent="0.2">
      <c r="A161" s="1" t="s">
        <v>507</v>
      </c>
      <c r="B161" s="7">
        <f t="shared" si="20"/>
        <v>45543.397604166668</v>
      </c>
      <c r="C161" s="8">
        <f t="shared" si="23"/>
        <v>45543.397604166668</v>
      </c>
      <c r="D161" s="9">
        <f t="shared" si="24"/>
        <v>0.39760416666831588</v>
      </c>
      <c r="E161" s="1" t="s">
        <v>504</v>
      </c>
      <c r="F161" s="1" t="s">
        <v>508</v>
      </c>
      <c r="G161" s="1" t="str">
        <f t="shared" si="25"/>
        <v>Adam</v>
      </c>
      <c r="H161" s="1" t="s">
        <v>508</v>
      </c>
      <c r="I161" s="1" t="str">
        <f t="shared" si="26"/>
        <v>Adam</v>
      </c>
      <c r="J161" s="1" t="str">
        <f t="shared" si="21"/>
        <v>Adam Adam</v>
      </c>
      <c r="K161" s="1" t="str">
        <f t="shared" si="22"/>
        <v>Unique</v>
      </c>
      <c r="L161" s="1" t="str">
        <f t="shared" si="29"/>
        <v>adamadam@3mtt.com</v>
      </c>
      <c r="M161" s="1" t="s">
        <v>21</v>
      </c>
      <c r="N161" s="1" t="str">
        <f t="shared" si="28"/>
        <v>Male</v>
      </c>
      <c r="O161" s="1">
        <v>17</v>
      </c>
      <c r="P161" s="1">
        <v>19</v>
      </c>
      <c r="Q161" s="1">
        <v>52</v>
      </c>
      <c r="R161" s="2" cm="1">
        <f t="array" ref="R161">IF(AND(ISNUMBER(O161:Q161),SUM(O161:Q161)&lt;100),SUM(O161:Q161),"No Score")</f>
        <v>88</v>
      </c>
      <c r="S161" t="str" cm="1">
        <f t="array" ref="S161">_xlfn.IFS(AND(R161 &gt;=91,R161 &lt;=100),"A+",AND(R161 &gt;=71,R161 &lt;=90),"A",AND(R161 &gt;=61,R161 &lt;=70),"B",AND(R161 &gt;=51,R161 &lt;=60),"C",AND(R161 &gt;=40,R161 &lt;=50),"D",R161 &lt;40,"F",R161="No Score","No Grade",OR(R161&gt;100,R161&lt;0),"Invalid score")</f>
        <v>A</v>
      </c>
      <c r="T161" t="str" cm="1">
        <f t="array" ref="T161">_xlfn.IFS(S161="A+","Distinction",S161="A","Excellent", S161="B","Credit",S161="C","Very Good", S161="D","Good",S161="F","Poor",OR(S161="No Grade",S161="Invalid Score"),"No Remark")</f>
        <v>Excellent</v>
      </c>
    </row>
    <row r="162" spans="1:20" x14ac:dyDescent="0.2">
      <c r="A162" s="1" t="s">
        <v>509</v>
      </c>
      <c r="B162" s="7">
        <f t="shared" si="20"/>
        <v>45543.398344907408</v>
      </c>
      <c r="C162" s="8">
        <f t="shared" si="23"/>
        <v>45543.398344907408</v>
      </c>
      <c r="D162" s="9">
        <f t="shared" si="24"/>
        <v>0.39834490740759065</v>
      </c>
      <c r="E162" s="1" t="s">
        <v>504</v>
      </c>
      <c r="F162" s="1" t="s">
        <v>510</v>
      </c>
      <c r="G162" s="1" t="str">
        <f t="shared" si="25"/>
        <v>Isaac</v>
      </c>
      <c r="H162" s="1" t="s">
        <v>511</v>
      </c>
      <c r="I162" s="1" t="str">
        <f t="shared" si="26"/>
        <v>Wale</v>
      </c>
      <c r="J162" s="1" t="str">
        <f t="shared" si="21"/>
        <v>Isaac Wale</v>
      </c>
      <c r="K162" s="1" t="str">
        <f t="shared" si="22"/>
        <v>Unique</v>
      </c>
      <c r="L162" s="1" t="str">
        <f t="shared" si="29"/>
        <v>isaacwale@3mtt.com</v>
      </c>
      <c r="M162" s="1" t="s">
        <v>21</v>
      </c>
      <c r="N162" s="1" t="str">
        <f t="shared" si="28"/>
        <v>Male</v>
      </c>
      <c r="O162" s="1">
        <v>16</v>
      </c>
      <c r="P162" s="1">
        <v>18</v>
      </c>
      <c r="Q162" s="1">
        <v>50</v>
      </c>
      <c r="R162" s="2" cm="1">
        <f t="array" ref="R162">IF(AND(ISNUMBER(O162:Q162),SUM(O162:Q162)&lt;100),SUM(O162:Q162),"No Score")</f>
        <v>84</v>
      </c>
      <c r="S162" t="str" cm="1">
        <f t="array" ref="S162">_xlfn.IFS(AND(R162 &gt;=91,R162 &lt;=100),"A+",AND(R162 &gt;=71,R162 &lt;=90),"A",AND(R162 &gt;=61,R162 &lt;=70),"B",AND(R162 &gt;=51,R162 &lt;=60),"C",AND(R162 &gt;=40,R162 &lt;=50),"D",R162 &lt;40,"F",R162="No Score","No Grade",OR(R162&gt;100,R162&lt;0),"Invalid score")</f>
        <v>A</v>
      </c>
      <c r="T162" t="str" cm="1">
        <f t="array" ref="T162">_xlfn.IFS(S162="A+","Distinction",S162="A","Excellent", S162="B","Credit",S162="C","Very Good", S162="D","Good",S162="F","Poor",OR(S162="No Grade",S162="Invalid Score"),"No Remark")</f>
        <v>Excellent</v>
      </c>
    </row>
    <row r="163" spans="1:20" x14ac:dyDescent="0.2">
      <c r="A163" s="1" t="s">
        <v>512</v>
      </c>
      <c r="B163" s="7">
        <f t="shared" si="20"/>
        <v>45543.399201388886</v>
      </c>
      <c r="C163" s="8">
        <f t="shared" si="23"/>
        <v>45543.399201388886</v>
      </c>
      <c r="D163" s="9">
        <f t="shared" si="24"/>
        <v>0.39920138888555812</v>
      </c>
      <c r="E163" s="1" t="s">
        <v>504</v>
      </c>
      <c r="F163" s="1" t="s">
        <v>154</v>
      </c>
      <c r="G163" s="1" t="str">
        <f t="shared" si="25"/>
        <v>John</v>
      </c>
      <c r="H163" s="1" t="s">
        <v>513</v>
      </c>
      <c r="I163" s="1" t="str">
        <f t="shared" si="26"/>
        <v>Fedric</v>
      </c>
      <c r="J163" s="1" t="str">
        <f t="shared" si="21"/>
        <v>John Fedric</v>
      </c>
      <c r="K163" s="1" t="str">
        <f t="shared" si="22"/>
        <v>Unique</v>
      </c>
      <c r="L163" s="1" t="str">
        <f t="shared" si="29"/>
        <v>johnfedric@3mtt.com</v>
      </c>
      <c r="M163" s="1" t="s">
        <v>21</v>
      </c>
      <c r="N163" s="1" t="str">
        <f t="shared" si="28"/>
        <v>Male</v>
      </c>
      <c r="O163" s="1">
        <v>16</v>
      </c>
      <c r="P163" s="1">
        <v>19</v>
      </c>
      <c r="Q163" s="1">
        <v>46</v>
      </c>
      <c r="R163" s="2" cm="1">
        <f t="array" ref="R163">IF(AND(ISNUMBER(O163:Q163),SUM(O163:Q163)&lt;100),SUM(O163:Q163),"No Score")</f>
        <v>81</v>
      </c>
      <c r="S163" t="str" cm="1">
        <f t="array" ref="S163">_xlfn.IFS(AND(R163 &gt;=91,R163 &lt;=100),"A+",AND(R163 &gt;=71,R163 &lt;=90),"A",AND(R163 &gt;=61,R163 &lt;=70),"B",AND(R163 &gt;=51,R163 &lt;=60),"C",AND(R163 &gt;=40,R163 &lt;=50),"D",R163 &lt;40,"F",R163="No Score","No Grade",OR(R163&gt;100,R163&lt;0),"Invalid score")</f>
        <v>A</v>
      </c>
      <c r="T163" t="str" cm="1">
        <f t="array" ref="T163">_xlfn.IFS(S163="A+","Distinction",S163="A","Excellent", S163="B","Credit",S163="C","Very Good", S163="D","Good",S163="F","Poor",OR(S163="No Grade",S163="Invalid Score"),"No Remark")</f>
        <v>Excellent</v>
      </c>
    </row>
    <row r="164" spans="1:20" x14ac:dyDescent="0.2">
      <c r="A164" s="1" t="s">
        <v>514</v>
      </c>
      <c r="B164" s="7">
        <f t="shared" si="20"/>
        <v>45543.399872685186</v>
      </c>
      <c r="C164" s="8">
        <f t="shared" si="23"/>
        <v>45543.399872685186</v>
      </c>
      <c r="D164" s="9">
        <f t="shared" si="24"/>
        <v>0.39987268518598285</v>
      </c>
      <c r="E164" s="1" t="s">
        <v>504</v>
      </c>
      <c r="F164" s="1" t="s">
        <v>515</v>
      </c>
      <c r="G164" s="1" t="str">
        <f t="shared" si="25"/>
        <v>Glory</v>
      </c>
      <c r="H164" s="1" t="s">
        <v>516</v>
      </c>
      <c r="I164" s="1" t="str">
        <f t="shared" si="26"/>
        <v>Amos</v>
      </c>
      <c r="J164" s="1" t="str">
        <f t="shared" si="21"/>
        <v>Glory Amos</v>
      </c>
      <c r="K164" s="1" t="str">
        <f t="shared" si="22"/>
        <v>Unique</v>
      </c>
      <c r="L164" s="1" t="str">
        <f t="shared" si="29"/>
        <v>gloryamos@3mtt.com</v>
      </c>
      <c r="M164" s="1" t="s">
        <v>12</v>
      </c>
      <c r="N164" s="1" t="str">
        <f t="shared" si="28"/>
        <v>Female</v>
      </c>
      <c r="O164" s="1">
        <v>17</v>
      </c>
      <c r="P164" s="1">
        <v>19</v>
      </c>
      <c r="Q164" s="1">
        <v>58</v>
      </c>
      <c r="R164" s="2" cm="1">
        <f t="array" ref="R164">IF(AND(ISNUMBER(O164:Q164),SUM(O164:Q164)&lt;100),SUM(O164:Q164),"No Score")</f>
        <v>94</v>
      </c>
      <c r="S164" t="str" cm="1">
        <f t="array" ref="S164">_xlfn.IFS(AND(R164 &gt;=91,R164 &lt;=100),"A+",AND(R164 &gt;=71,R164 &lt;=90),"A",AND(R164 &gt;=61,R164 &lt;=70),"B",AND(R164 &gt;=51,R164 &lt;=60),"C",AND(R164 &gt;=40,R164 &lt;=50),"D",R164 &lt;40,"F",R164="No Score","No Grade",OR(R164&gt;100,R164&lt;0),"Invalid score")</f>
        <v>A+</v>
      </c>
      <c r="T164" t="str" cm="1">
        <f t="array" ref="T164">_xlfn.IFS(S164="A+","Distinction",S164="A","Excellent", S164="B","Credit",S164="C","Very Good", S164="D","Good",S164="F","Poor",OR(S164="No Grade",S164="Invalid Score"),"No Remark")</f>
        <v>Distinction</v>
      </c>
    </row>
    <row r="165" spans="1:20" x14ac:dyDescent="0.2">
      <c r="A165" s="1" t="s">
        <v>517</v>
      </c>
      <c r="B165" s="7">
        <f t="shared" si="20"/>
        <v>45543.498831018522</v>
      </c>
      <c r="C165" s="8">
        <f t="shared" si="23"/>
        <v>45543.498831018522</v>
      </c>
      <c r="D165" s="9">
        <f t="shared" si="24"/>
        <v>0.4988310185217415</v>
      </c>
      <c r="E165" s="1" t="s">
        <v>518</v>
      </c>
      <c r="F165" s="1" t="s">
        <v>519</v>
      </c>
      <c r="G165" s="1" t="str">
        <f t="shared" si="25"/>
        <v>Ruth</v>
      </c>
      <c r="H165" s="1" t="s">
        <v>520</v>
      </c>
      <c r="I165" s="1" t="str">
        <f t="shared" si="26"/>
        <v>Chukwumereze</v>
      </c>
      <c r="J165" s="1" t="str">
        <f t="shared" si="21"/>
        <v>Ruth Chukwumereze</v>
      </c>
      <c r="K165" s="1" t="str">
        <f t="shared" si="22"/>
        <v>Unique</v>
      </c>
      <c r="L165" s="1" t="str">
        <f t="shared" si="29"/>
        <v>ruthchukwumereze@3mtt.com</v>
      </c>
      <c r="M165" s="1" t="s">
        <v>17</v>
      </c>
      <c r="N165" s="1" t="str">
        <f t="shared" si="28"/>
        <v xml:space="preserve">Female </v>
      </c>
      <c r="O165" s="1">
        <v>20</v>
      </c>
      <c r="P165" s="1">
        <v>18</v>
      </c>
      <c r="Q165" s="1">
        <v>16</v>
      </c>
      <c r="R165" s="2" cm="1">
        <f t="array" ref="R165">IF(AND(ISNUMBER(O165:Q165),SUM(O165:Q165)&lt;100),SUM(O165:Q165),"No Score")</f>
        <v>54</v>
      </c>
      <c r="S165" t="str" cm="1">
        <f t="array" ref="S165">_xlfn.IFS(AND(R165 &gt;=91,R165 &lt;=100),"A+",AND(R165 &gt;=71,R165 &lt;=90),"A",AND(R165 &gt;=61,R165 &lt;=70),"B",AND(R165 &gt;=51,R165 &lt;=60),"C",AND(R165 &gt;=40,R165 &lt;=50),"D",R165 &lt;40,"F",R165="No Score","No Grade",OR(R165&gt;100,R165&lt;0),"Invalid score")</f>
        <v>C</v>
      </c>
      <c r="T165" t="str" cm="1">
        <f t="array" ref="T165">_xlfn.IFS(S165="A+","Distinction",S165="A","Excellent", S165="B","Credit",S165="C","Very Good", S165="D","Good",S165="F","Poor",OR(S165="No Grade",S165="Invalid Score"),"No Remark")</f>
        <v>Very Good</v>
      </c>
    </row>
    <row r="166" spans="1:20" x14ac:dyDescent="0.2">
      <c r="A166" s="1" t="s">
        <v>521</v>
      </c>
      <c r="B166" s="7">
        <f t="shared" si="20"/>
        <v>45543.600682870368</v>
      </c>
      <c r="C166" s="8">
        <f t="shared" si="23"/>
        <v>45543.600682870368</v>
      </c>
      <c r="D166" s="9">
        <f t="shared" si="24"/>
        <v>0.60068287036847323</v>
      </c>
      <c r="E166" s="1" t="s">
        <v>464</v>
      </c>
      <c r="F166" s="1" t="s">
        <v>522</v>
      </c>
      <c r="G166" s="1" t="str">
        <f t="shared" si="25"/>
        <v>John</v>
      </c>
      <c r="H166" s="1" t="s">
        <v>100</v>
      </c>
      <c r="I166" s="1" t="str">
        <f t="shared" si="26"/>
        <v>Paul</v>
      </c>
      <c r="J166" s="1" t="str">
        <f t="shared" si="21"/>
        <v>John Paul</v>
      </c>
      <c r="K166" s="1" t="str">
        <f t="shared" si="22"/>
        <v>Duplicate</v>
      </c>
      <c r="L166" s="1" t="str">
        <f t="shared" si="29"/>
        <v>johnpaul@3mtt.com</v>
      </c>
      <c r="M166" s="1" t="s">
        <v>21</v>
      </c>
      <c r="N166" s="1" t="str">
        <f t="shared" si="28"/>
        <v>Male</v>
      </c>
      <c r="O166" s="1">
        <v>20</v>
      </c>
      <c r="P166" s="1">
        <v>18</v>
      </c>
      <c r="Q166" s="1">
        <v>45</v>
      </c>
      <c r="R166" s="2" cm="1">
        <f t="array" ref="R166">IF(AND(ISNUMBER(O166:Q166),SUM(O166:Q166)&lt;100),SUM(O166:Q166),"No Score")</f>
        <v>83</v>
      </c>
      <c r="S166" t="str" cm="1">
        <f t="array" ref="S166">_xlfn.IFS(AND(R166 &gt;=91,R166 &lt;=100),"A+",AND(R166 &gt;=71,R166 &lt;=90),"A",AND(R166 &gt;=61,R166 &lt;=70),"B",AND(R166 &gt;=51,R166 &lt;=60),"C",AND(R166 &gt;=40,R166 &lt;=50),"D",R166 &lt;40,"F",R166="No Score","No Grade",OR(R166&gt;100,R166&lt;0),"Invalid score")</f>
        <v>A</v>
      </c>
      <c r="T166" t="str" cm="1">
        <f t="array" ref="T166">_xlfn.IFS(S166="A+","Distinction",S166="A","Excellent", S166="B","Credit",S166="C","Very Good", S166="D","Good",S166="F","Poor",OR(S166="No Grade",S166="Invalid Score"),"No Remark")</f>
        <v>Excellent</v>
      </c>
    </row>
    <row r="167" spans="1:20" x14ac:dyDescent="0.2">
      <c r="A167" s="1" t="s">
        <v>523</v>
      </c>
      <c r="B167" s="7">
        <f t="shared" si="20"/>
        <v>45543.605173611111</v>
      </c>
      <c r="C167" s="8">
        <f t="shared" si="23"/>
        <v>45543.605173611111</v>
      </c>
      <c r="D167" s="9">
        <f t="shared" si="24"/>
        <v>0.60517361111124046</v>
      </c>
      <c r="E167" s="1" t="s">
        <v>464</v>
      </c>
      <c r="F167" s="1" t="s">
        <v>524</v>
      </c>
      <c r="G167" s="1" t="str">
        <f t="shared" si="25"/>
        <v>Treasure</v>
      </c>
      <c r="H167" s="1" t="s">
        <v>467</v>
      </c>
      <c r="I167" s="1" t="str">
        <f t="shared" si="26"/>
        <v>Magnus</v>
      </c>
      <c r="J167" s="1" t="str">
        <f t="shared" si="21"/>
        <v>Treasure Magnus</v>
      </c>
      <c r="K167" s="1" t="str">
        <f t="shared" si="22"/>
        <v>Duplicate</v>
      </c>
      <c r="L167" s="1" t="str">
        <f t="shared" si="29"/>
        <v>treasuremagnus@3mtt.com</v>
      </c>
      <c r="M167" s="1" t="s">
        <v>12</v>
      </c>
      <c r="N167" s="1" t="str">
        <f t="shared" si="28"/>
        <v>Female</v>
      </c>
      <c r="O167" s="1">
        <v>15</v>
      </c>
      <c r="P167" s="1">
        <v>20</v>
      </c>
      <c r="Q167" s="1">
        <v>30</v>
      </c>
      <c r="R167" s="2" cm="1">
        <f t="array" ref="R167">IF(AND(ISNUMBER(O167:Q167),SUM(O167:Q167)&lt;100),SUM(O167:Q167),"No Score")</f>
        <v>65</v>
      </c>
      <c r="S167" t="str" cm="1">
        <f t="array" ref="S167">_xlfn.IFS(AND(R167 &gt;=91,R167 &lt;=100),"A+",AND(R167 &gt;=71,R167 &lt;=90),"A",AND(R167 &gt;=61,R167 &lt;=70),"B",AND(R167 &gt;=51,R167 &lt;=60),"C",AND(R167 &gt;=40,R167 &lt;=50),"D",R167 &lt;40,"F",R167="No Score","No Grade",OR(R167&gt;100,R167&lt;0),"Invalid score")</f>
        <v>B</v>
      </c>
      <c r="T167" t="str" cm="1">
        <f t="array" ref="T167">_xlfn.IFS(S167="A+","Distinction",S167="A","Excellent", S167="B","Credit",S167="C","Very Good", S167="D","Good",S167="F","Poor",OR(S167="No Grade",S167="Invalid Score"),"No Remark")</f>
        <v>Credit</v>
      </c>
    </row>
    <row r="168" spans="1:20" x14ac:dyDescent="0.2">
      <c r="A168" s="1" t="s">
        <v>525</v>
      </c>
      <c r="B168" s="7">
        <f t="shared" si="20"/>
        <v>45543.60564814815</v>
      </c>
      <c r="C168" s="8">
        <f t="shared" si="23"/>
        <v>45543.60564814815</v>
      </c>
      <c r="D168" s="9">
        <f t="shared" si="24"/>
        <v>0.60564814815006685</v>
      </c>
      <c r="E168" s="1" t="s">
        <v>464</v>
      </c>
      <c r="F168" s="1" t="s">
        <v>469</v>
      </c>
      <c r="G168" s="1" t="str">
        <f t="shared" si="25"/>
        <v>Femi</v>
      </c>
      <c r="H168" s="1" t="s">
        <v>526</v>
      </c>
      <c r="I168" s="1" t="str">
        <f t="shared" si="26"/>
        <v>Olusanya</v>
      </c>
      <c r="J168" s="1" t="str">
        <f t="shared" si="21"/>
        <v>Femi Olusanya</v>
      </c>
      <c r="K168" s="1" t="str">
        <f t="shared" si="22"/>
        <v>Duplicate</v>
      </c>
      <c r="L168" s="1" t="str">
        <f t="shared" si="29"/>
        <v>femiolusanya@3mtt.com</v>
      </c>
      <c r="M168" s="1" t="s">
        <v>21</v>
      </c>
      <c r="N168" s="1" t="str">
        <f t="shared" si="28"/>
        <v>Male</v>
      </c>
      <c r="O168" s="1">
        <v>10</v>
      </c>
      <c r="P168" s="1">
        <v>15</v>
      </c>
      <c r="Q168" s="1">
        <v>25</v>
      </c>
      <c r="R168" s="2" cm="1">
        <f t="array" ref="R168">IF(AND(ISNUMBER(O168:Q168),SUM(O168:Q168)&lt;100),SUM(O168:Q168),"No Score")</f>
        <v>50</v>
      </c>
      <c r="S168" t="str" cm="1">
        <f t="array" ref="S168">_xlfn.IFS(AND(R168 &gt;=91,R168 &lt;=100),"A+",AND(R168 &gt;=71,R168 &lt;=90),"A",AND(R168 &gt;=61,R168 &lt;=70),"B",AND(R168 &gt;=51,R168 &lt;=60),"C",AND(R168 &gt;=40,R168 &lt;=50),"D",R168 &lt;40,"F",R168="No Score","No Grade",OR(R168&gt;100,R168&lt;0),"Invalid score")</f>
        <v>D</v>
      </c>
      <c r="T168" t="str" cm="1">
        <f t="array" ref="T168">_xlfn.IFS(S168="A+","Distinction",S168="A","Excellent", S168="B","Credit",S168="C","Very Good", S168="D","Good",S168="F","Poor",OR(S168="No Grade",S168="Invalid Score"),"No Remark")</f>
        <v>Good</v>
      </c>
    </row>
    <row r="169" spans="1:20" x14ac:dyDescent="0.2">
      <c r="A169" s="1" t="s">
        <v>528</v>
      </c>
      <c r="B169" s="7">
        <f t="shared" si="20"/>
        <v>45543.60659722222</v>
      </c>
      <c r="C169" s="8">
        <f t="shared" si="23"/>
        <v>45543.60659722222</v>
      </c>
      <c r="D169" s="9">
        <f t="shared" si="24"/>
        <v>0.60659722222044365</v>
      </c>
      <c r="E169" s="1" t="s">
        <v>464</v>
      </c>
      <c r="F169" s="1" t="s">
        <v>529</v>
      </c>
      <c r="G169" s="1" t="str">
        <f t="shared" si="25"/>
        <v>Titilayo</v>
      </c>
      <c r="H169" s="1" t="s">
        <v>476</v>
      </c>
      <c r="I169" s="1" t="str">
        <f t="shared" si="26"/>
        <v>Kalu</v>
      </c>
      <c r="J169" s="1" t="str">
        <f t="shared" si="21"/>
        <v>Titilayo Kalu</v>
      </c>
      <c r="K169" s="1" t="str">
        <f t="shared" si="22"/>
        <v>Duplicate</v>
      </c>
      <c r="L169" s="1" t="str">
        <f t="shared" si="29"/>
        <v>titilayokalu@3mtt.com</v>
      </c>
      <c r="M169" s="1" t="s">
        <v>17</v>
      </c>
      <c r="N169" s="1" t="str">
        <f t="shared" si="28"/>
        <v xml:space="preserve">Female </v>
      </c>
      <c r="O169" s="1">
        <v>20</v>
      </c>
      <c r="P169" s="1">
        <v>20</v>
      </c>
      <c r="Q169" s="1">
        <v>42</v>
      </c>
      <c r="R169" s="2" cm="1">
        <f t="array" ref="R169">IF(AND(ISNUMBER(O169:Q169),SUM(O169:Q169)&lt;100),SUM(O169:Q169),"No Score")</f>
        <v>82</v>
      </c>
      <c r="S169" t="str" cm="1">
        <f t="array" ref="S169">_xlfn.IFS(AND(R169 &gt;=91,R169 &lt;=100),"A+",AND(R169 &gt;=71,R169 &lt;=90),"A",AND(R169 &gt;=61,R169 &lt;=70),"B",AND(R169 &gt;=51,R169 &lt;=60),"C",AND(R169 &gt;=40,R169 &lt;=50),"D",R169 &lt;40,"F",R169="No Score","No Grade",OR(R169&gt;100,R169&lt;0),"Invalid score")</f>
        <v>A</v>
      </c>
      <c r="T169" t="str" cm="1">
        <f t="array" ref="T169">_xlfn.IFS(S169="A+","Distinction",S169="A","Excellent", S169="B","Credit",S169="C","Very Good", S169="D","Good",S169="F","Poor",OR(S169="No Grade",S169="Invalid Score"),"No Remark")</f>
        <v>Excellent</v>
      </c>
    </row>
    <row r="170" spans="1:20" x14ac:dyDescent="0.2">
      <c r="A170" s="1" t="s">
        <v>530</v>
      </c>
      <c r="B170" s="7">
        <f t="shared" si="20"/>
        <v>45543.610486111109</v>
      </c>
      <c r="C170" s="8">
        <f t="shared" si="23"/>
        <v>45543.610486111109</v>
      </c>
      <c r="D170" s="9">
        <f t="shared" si="24"/>
        <v>0.61048611110891216</v>
      </c>
      <c r="E170" s="1" t="s">
        <v>531</v>
      </c>
      <c r="F170" s="1" t="s">
        <v>101</v>
      </c>
      <c r="G170" s="1" t="str">
        <f t="shared" si="25"/>
        <v>James</v>
      </c>
      <c r="H170" s="1" t="s">
        <v>532</v>
      </c>
      <c r="I170" s="1" t="str">
        <f t="shared" si="26"/>
        <v>Obat</v>
      </c>
      <c r="J170" s="1" t="str">
        <f t="shared" si="21"/>
        <v>James Obat</v>
      </c>
      <c r="K170" s="1" t="str">
        <f t="shared" si="22"/>
        <v>Unique</v>
      </c>
      <c r="L170" s="1" t="str">
        <f t="shared" si="29"/>
        <v>jamesobat@3mtt.com</v>
      </c>
      <c r="M170" s="1" t="s">
        <v>21</v>
      </c>
      <c r="N170" s="1" t="str">
        <f t="shared" si="28"/>
        <v>Male</v>
      </c>
      <c r="O170" s="1">
        <v>14</v>
      </c>
      <c r="P170" s="1">
        <v>17</v>
      </c>
      <c r="Q170" s="1">
        <v>42</v>
      </c>
      <c r="R170" s="2" cm="1">
        <f t="array" ref="R170">IF(AND(ISNUMBER(O170:Q170),SUM(O170:Q170)&lt;100),SUM(O170:Q170),"No Score")</f>
        <v>73</v>
      </c>
      <c r="S170" t="str" cm="1">
        <f t="array" ref="S170">_xlfn.IFS(AND(R170 &gt;=91,R170 &lt;=100),"A+",AND(R170 &gt;=71,R170 &lt;=90),"A",AND(R170 &gt;=61,R170 &lt;=70),"B",AND(R170 &gt;=51,R170 &lt;=60),"C",AND(R170 &gt;=40,R170 &lt;=50),"D",R170 &lt;40,"F",R170="No Score","No Grade",OR(R170&gt;100,R170&lt;0),"Invalid score")</f>
        <v>A</v>
      </c>
      <c r="T170" t="str" cm="1">
        <f t="array" ref="T170">_xlfn.IFS(S170="A+","Distinction",S170="A","Excellent", S170="B","Credit",S170="C","Very Good", S170="D","Good",S170="F","Poor",OR(S170="No Grade",S170="Invalid Score"),"No Remark")</f>
        <v>Excellent</v>
      </c>
    </row>
    <row r="171" spans="1:20" x14ac:dyDescent="0.2">
      <c r="A171" s="1" t="s">
        <v>533</v>
      </c>
      <c r="B171" s="7">
        <f t="shared" si="20"/>
        <v>45543.611018518517</v>
      </c>
      <c r="C171" s="8">
        <f t="shared" si="23"/>
        <v>45543.611018518517</v>
      </c>
      <c r="D171" s="9">
        <f t="shared" si="24"/>
        <v>0.61101851851708489</v>
      </c>
      <c r="E171" s="1" t="s">
        <v>531</v>
      </c>
      <c r="F171" s="1" t="s">
        <v>442</v>
      </c>
      <c r="G171" s="1" t="str">
        <f t="shared" si="25"/>
        <v>Mary</v>
      </c>
      <c r="H171" s="1" t="s">
        <v>534</v>
      </c>
      <c r="I171" s="1" t="str">
        <f t="shared" si="26"/>
        <v>Onah</v>
      </c>
      <c r="J171" s="1" t="str">
        <f t="shared" si="21"/>
        <v>Mary Onah</v>
      </c>
      <c r="K171" s="1" t="str">
        <f t="shared" si="22"/>
        <v>Unique</v>
      </c>
      <c r="L171" s="1" t="str">
        <f t="shared" si="29"/>
        <v>maryonah@3mtt.com</v>
      </c>
      <c r="M171" s="1" t="s">
        <v>12</v>
      </c>
      <c r="N171" s="1" t="str">
        <f t="shared" si="28"/>
        <v>Female</v>
      </c>
      <c r="O171" s="1">
        <v>15</v>
      </c>
      <c r="P171" s="1">
        <v>14</v>
      </c>
      <c r="Q171" s="1">
        <v>48</v>
      </c>
      <c r="R171" s="2" cm="1">
        <f t="array" ref="R171">IF(AND(ISNUMBER(O171:Q171),SUM(O171:Q171)&lt;100),SUM(O171:Q171),"No Score")</f>
        <v>77</v>
      </c>
      <c r="S171" t="str" cm="1">
        <f t="array" ref="S171">_xlfn.IFS(AND(R171 &gt;=91,R171 &lt;=100),"A+",AND(R171 &gt;=71,R171 &lt;=90),"A",AND(R171 &gt;=61,R171 &lt;=70),"B",AND(R171 &gt;=51,R171 &lt;=60),"C",AND(R171 &gt;=40,R171 &lt;=50),"D",R171 &lt;40,"F",R171="No Score","No Grade",OR(R171&gt;100,R171&lt;0),"Invalid score")</f>
        <v>A</v>
      </c>
      <c r="T171" t="str" cm="1">
        <f t="array" ref="T171">_xlfn.IFS(S171="A+","Distinction",S171="A","Excellent", S171="B","Credit",S171="C","Very Good", S171="D","Good",S171="F","Poor",OR(S171="No Grade",S171="Invalid Score"),"No Remark")</f>
        <v>Excellent</v>
      </c>
    </row>
    <row r="172" spans="1:20" x14ac:dyDescent="0.2">
      <c r="A172" s="1" t="s">
        <v>535</v>
      </c>
      <c r="B172" s="7">
        <f t="shared" si="20"/>
        <v>45543.61146990741</v>
      </c>
      <c r="C172" s="8">
        <f t="shared" si="23"/>
        <v>45543.61146990741</v>
      </c>
      <c r="D172" s="9">
        <f t="shared" si="24"/>
        <v>0.61146990740962792</v>
      </c>
      <c r="E172" s="1" t="s">
        <v>531</v>
      </c>
      <c r="F172" s="1" t="s">
        <v>536</v>
      </c>
      <c r="G172" s="1" t="str">
        <f t="shared" si="25"/>
        <v>Theresa</v>
      </c>
      <c r="H172" s="1" t="s">
        <v>537</v>
      </c>
      <c r="I172" s="1" t="str">
        <f t="shared" si="26"/>
        <v>Madueke</v>
      </c>
      <c r="J172" s="1" t="str">
        <f t="shared" si="21"/>
        <v>Theresa Madueke</v>
      </c>
      <c r="K172" s="1" t="str">
        <f t="shared" si="22"/>
        <v>Unique</v>
      </c>
      <c r="L172" s="1" t="str">
        <f t="shared" si="29"/>
        <v>theresamadueke@3mtt.com</v>
      </c>
      <c r="M172" s="1" t="s">
        <v>12</v>
      </c>
      <c r="N172" s="1" t="str">
        <f t="shared" si="28"/>
        <v>Female</v>
      </c>
      <c r="O172" s="1">
        <v>16</v>
      </c>
      <c r="P172" s="1">
        <v>16</v>
      </c>
      <c r="Q172" s="1">
        <v>50</v>
      </c>
      <c r="R172" s="2" cm="1">
        <f t="array" ref="R172">IF(AND(ISNUMBER(O172:Q172),SUM(O172:Q172)&lt;100),SUM(O172:Q172),"No Score")</f>
        <v>82</v>
      </c>
      <c r="S172" t="str" cm="1">
        <f t="array" ref="S172">_xlfn.IFS(AND(R172 &gt;=91,R172 &lt;=100),"A+",AND(R172 &gt;=71,R172 &lt;=90),"A",AND(R172 &gt;=61,R172 &lt;=70),"B",AND(R172 &gt;=51,R172 &lt;=60),"C",AND(R172 &gt;=40,R172 &lt;=50),"D",R172 &lt;40,"F",R172="No Score","No Grade",OR(R172&gt;100,R172&lt;0),"Invalid score")</f>
        <v>A</v>
      </c>
      <c r="T172" t="str" cm="1">
        <f t="array" ref="T172">_xlfn.IFS(S172="A+","Distinction",S172="A","Excellent", S172="B","Credit",S172="C","Very Good", S172="D","Good",S172="F","Poor",OR(S172="No Grade",S172="Invalid Score"),"No Remark")</f>
        <v>Excellent</v>
      </c>
    </row>
    <row r="173" spans="1:20" x14ac:dyDescent="0.2">
      <c r="A173" s="1" t="s">
        <v>538</v>
      </c>
      <c r="B173" s="7">
        <f t="shared" si="20"/>
        <v>45543.611967592595</v>
      </c>
      <c r="C173" s="8">
        <f t="shared" si="23"/>
        <v>45543.611967592595</v>
      </c>
      <c r="D173" s="9">
        <f t="shared" si="24"/>
        <v>0.61196759259473765</v>
      </c>
      <c r="E173" s="1" t="s">
        <v>531</v>
      </c>
      <c r="F173" s="1" t="s">
        <v>539</v>
      </c>
      <c r="G173" s="1" t="str">
        <f t="shared" si="25"/>
        <v>Matthew</v>
      </c>
      <c r="H173" s="1" t="s">
        <v>540</v>
      </c>
      <c r="I173" s="1" t="str">
        <f t="shared" si="26"/>
        <v>Thompson</v>
      </c>
      <c r="J173" s="1" t="str">
        <f t="shared" si="21"/>
        <v>Matthew Thompson</v>
      </c>
      <c r="K173" s="1" t="str">
        <f t="shared" si="22"/>
        <v>Unique</v>
      </c>
      <c r="L173" s="1" t="str">
        <f t="shared" si="29"/>
        <v>matthewthompson@3mtt.com</v>
      </c>
      <c r="M173" s="1" t="s">
        <v>21</v>
      </c>
      <c r="N173" s="1" t="str">
        <f t="shared" si="28"/>
        <v>Male</v>
      </c>
      <c r="O173" s="1">
        <v>17</v>
      </c>
      <c r="P173" s="1">
        <v>14</v>
      </c>
      <c r="Q173" s="1">
        <v>51</v>
      </c>
      <c r="R173" s="2" cm="1">
        <f t="array" ref="R173">IF(AND(ISNUMBER(O173:Q173),SUM(O173:Q173)&lt;100),SUM(O173:Q173),"No Score")</f>
        <v>82</v>
      </c>
      <c r="S173" t="str" cm="1">
        <f t="array" ref="S173">_xlfn.IFS(AND(R173 &gt;=91,R173 &lt;=100),"A+",AND(R173 &gt;=71,R173 &lt;=90),"A",AND(R173 &gt;=61,R173 &lt;=70),"B",AND(R173 &gt;=51,R173 &lt;=60),"C",AND(R173 &gt;=40,R173 &lt;=50),"D",R173 &lt;40,"F",R173="No Score","No Grade",OR(R173&gt;100,R173&lt;0),"Invalid score")</f>
        <v>A</v>
      </c>
      <c r="T173" t="str" cm="1">
        <f t="array" ref="T173">_xlfn.IFS(S173="A+","Distinction",S173="A","Excellent", S173="B","Credit",S173="C","Very Good", S173="D","Good",S173="F","Poor",OR(S173="No Grade",S173="Invalid Score"),"No Remark")</f>
        <v>Excellent</v>
      </c>
    </row>
    <row r="174" spans="1:20" x14ac:dyDescent="0.2">
      <c r="A174" s="1" t="s">
        <v>541</v>
      </c>
      <c r="B174" s="7">
        <f t="shared" si="20"/>
        <v>45543.612430555557</v>
      </c>
      <c r="C174" s="8">
        <f t="shared" si="23"/>
        <v>45543.612430555557</v>
      </c>
      <c r="D174" s="9">
        <f t="shared" si="24"/>
        <v>0.61243055555678438</v>
      </c>
      <c r="E174" s="1" t="s">
        <v>531</v>
      </c>
      <c r="F174" s="1" t="s">
        <v>542</v>
      </c>
      <c r="G174" s="1" t="str">
        <f t="shared" si="25"/>
        <v>Eneh</v>
      </c>
      <c r="H174" s="1" t="s">
        <v>543</v>
      </c>
      <c r="I174" s="1" t="str">
        <f t="shared" si="26"/>
        <v>Williams</v>
      </c>
      <c r="J174" s="1" t="str">
        <f t="shared" si="21"/>
        <v>Eneh Williams</v>
      </c>
      <c r="K174" s="1" t="str">
        <f t="shared" si="22"/>
        <v>Unique</v>
      </c>
      <c r="L174" s="1" t="str">
        <f t="shared" si="29"/>
        <v>enehwilliams@3mtt.com</v>
      </c>
      <c r="M174" s="1" t="s">
        <v>17</v>
      </c>
      <c r="N174" s="1" t="str">
        <f t="shared" si="28"/>
        <v xml:space="preserve">Female </v>
      </c>
      <c r="O174" s="1">
        <v>18</v>
      </c>
      <c r="P174" s="1">
        <v>18</v>
      </c>
      <c r="Q174" s="1">
        <v>55</v>
      </c>
      <c r="R174" s="2" cm="1">
        <f t="array" ref="R174">IF(AND(ISNUMBER(O174:Q174),SUM(O174:Q174)&lt;100),SUM(O174:Q174),"No Score")</f>
        <v>91</v>
      </c>
      <c r="S174" t="str" cm="1">
        <f t="array" ref="S174">_xlfn.IFS(AND(R174 &gt;=91,R174 &lt;=100),"A+",AND(R174 &gt;=71,R174 &lt;=90),"A",AND(R174 &gt;=61,R174 &lt;=70),"B",AND(R174 &gt;=51,R174 &lt;=60),"C",AND(R174 &gt;=40,R174 &lt;=50),"D",R174 &lt;40,"F",R174="No Score","No Grade",OR(R174&gt;100,R174&lt;0),"Invalid score")</f>
        <v>A+</v>
      </c>
      <c r="T174" t="str" cm="1">
        <f t="array" ref="T174">_xlfn.IFS(S174="A+","Distinction",S174="A","Excellent", S174="B","Credit",S174="C","Very Good", S174="D","Good",S174="F","Poor",OR(S174="No Grade",S174="Invalid Score"),"No Remark")</f>
        <v>Distinction</v>
      </c>
    </row>
    <row r="175" spans="1:20" x14ac:dyDescent="0.2">
      <c r="A175" s="1" t="s">
        <v>544</v>
      </c>
      <c r="B175" s="7">
        <f t="shared" si="20"/>
        <v>45543.650138888886</v>
      </c>
      <c r="C175" s="8">
        <f t="shared" si="23"/>
        <v>45543.650138888886</v>
      </c>
      <c r="D175" s="9">
        <f t="shared" si="24"/>
        <v>0.65013888888643123</v>
      </c>
      <c r="E175" s="1" t="s">
        <v>545</v>
      </c>
      <c r="F175" s="1" t="s">
        <v>325</v>
      </c>
      <c r="G175" s="1" t="str">
        <f t="shared" si="25"/>
        <v>Daniel</v>
      </c>
      <c r="H175" s="1" t="s">
        <v>101</v>
      </c>
      <c r="I175" s="1" t="str">
        <f t="shared" si="26"/>
        <v>James</v>
      </c>
      <c r="J175" s="1" t="str">
        <f t="shared" si="21"/>
        <v>Daniel James</v>
      </c>
      <c r="K175" s="1" t="str">
        <f t="shared" si="22"/>
        <v>Unique</v>
      </c>
      <c r="L175" s="1" t="str">
        <f t="shared" si="29"/>
        <v>danieljames@3mtt.com</v>
      </c>
      <c r="M175" s="1" t="s">
        <v>53</v>
      </c>
      <c r="N175" s="1" t="str">
        <f t="shared" si="28"/>
        <v xml:space="preserve">Male </v>
      </c>
      <c r="O175" s="1">
        <v>16</v>
      </c>
      <c r="P175" s="1">
        <v>18</v>
      </c>
      <c r="Q175" s="1">
        <v>45</v>
      </c>
      <c r="R175" s="2" cm="1">
        <f t="array" ref="R175">IF(AND(ISNUMBER(O175:Q175),SUM(O175:Q175)&lt;100),SUM(O175:Q175),"No Score")</f>
        <v>79</v>
      </c>
      <c r="S175" t="str" cm="1">
        <f t="array" ref="S175">_xlfn.IFS(AND(R175 &gt;=91,R175 &lt;=100),"A+",AND(R175 &gt;=71,R175 &lt;=90),"A",AND(R175 &gt;=61,R175 &lt;=70),"B",AND(R175 &gt;=51,R175 &lt;=60),"C",AND(R175 &gt;=40,R175 &lt;=50),"D",R175 &lt;40,"F",R175="No Score","No Grade",OR(R175&gt;100,R175&lt;0),"Invalid score")</f>
        <v>A</v>
      </c>
      <c r="T175" t="str" cm="1">
        <f t="array" ref="T175">_xlfn.IFS(S175="A+","Distinction",S175="A","Excellent", S175="B","Credit",S175="C","Very Good", S175="D","Good",S175="F","Poor",OR(S175="No Grade",S175="Invalid Score"),"No Remark")</f>
        <v>Excellent</v>
      </c>
    </row>
    <row r="176" spans="1:20" x14ac:dyDescent="0.2">
      <c r="A176" s="1" t="s">
        <v>546</v>
      </c>
      <c r="B176" s="7">
        <f t="shared" si="20"/>
        <v>45543.651608796295</v>
      </c>
      <c r="C176" s="8">
        <f t="shared" si="23"/>
        <v>45543.651608796295</v>
      </c>
      <c r="D176" s="9">
        <f t="shared" si="24"/>
        <v>0.65160879629547708</v>
      </c>
      <c r="E176" s="1" t="s">
        <v>545</v>
      </c>
      <c r="F176" s="1" t="s">
        <v>547</v>
      </c>
      <c r="G176" s="1" t="str">
        <f t="shared" si="25"/>
        <v>Chioma</v>
      </c>
      <c r="H176" s="1" t="s">
        <v>548</v>
      </c>
      <c r="I176" s="1" t="str">
        <f t="shared" si="26"/>
        <v>Alex</v>
      </c>
      <c r="J176" s="1" t="str">
        <f t="shared" si="21"/>
        <v>Chioma Alex</v>
      </c>
      <c r="K176" s="1" t="str">
        <f t="shared" si="22"/>
        <v>Unique</v>
      </c>
      <c r="L176" s="1" t="str">
        <f t="shared" si="29"/>
        <v>chiomaalex@3mtt.com</v>
      </c>
      <c r="M176" s="1" t="s">
        <v>17</v>
      </c>
      <c r="N176" s="1" t="str">
        <f t="shared" si="28"/>
        <v xml:space="preserve">Female </v>
      </c>
      <c r="O176" s="1">
        <v>18</v>
      </c>
      <c r="P176" s="1">
        <v>20</v>
      </c>
      <c r="Q176" s="1">
        <v>40</v>
      </c>
      <c r="R176" s="2" cm="1">
        <f t="array" ref="R176">IF(AND(ISNUMBER(O176:Q176),SUM(O176:Q176)&lt;100),SUM(O176:Q176),"No Score")</f>
        <v>78</v>
      </c>
      <c r="S176" t="str" cm="1">
        <f t="array" ref="S176">_xlfn.IFS(AND(R176 &gt;=91,R176 &lt;=100),"A+",AND(R176 &gt;=71,R176 &lt;=90),"A",AND(R176 &gt;=61,R176 &lt;=70),"B",AND(R176 &gt;=51,R176 &lt;=60),"C",AND(R176 &gt;=40,R176 &lt;=50),"D",R176 &lt;40,"F",R176="No Score","No Grade",OR(R176&gt;100,R176&lt;0),"Invalid score")</f>
        <v>A</v>
      </c>
      <c r="T176" t="str" cm="1">
        <f t="array" ref="T176">_xlfn.IFS(S176="A+","Distinction",S176="A","Excellent", S176="B","Credit",S176="C","Very Good", S176="D","Good",S176="F","Poor",OR(S176="No Grade",S176="Invalid Score"),"No Remark")</f>
        <v>Excellent</v>
      </c>
    </row>
    <row r="177" spans="1:20" x14ac:dyDescent="0.2">
      <c r="A177" s="1" t="s">
        <v>549</v>
      </c>
      <c r="B177" s="7">
        <f t="shared" si="20"/>
        <v>45543.652650462966</v>
      </c>
      <c r="C177" s="8">
        <f t="shared" si="23"/>
        <v>45543.652650462966</v>
      </c>
      <c r="D177" s="9">
        <f t="shared" si="24"/>
        <v>0.65265046296553919</v>
      </c>
      <c r="E177" s="1" t="s">
        <v>545</v>
      </c>
      <c r="F177" s="1" t="s">
        <v>550</v>
      </c>
      <c r="G177" s="1" t="str">
        <f t="shared" si="25"/>
        <v>Elizabeth</v>
      </c>
      <c r="H177" s="1" t="s">
        <v>551</v>
      </c>
      <c r="I177" s="1" t="str">
        <f t="shared" si="26"/>
        <v>Andrew</v>
      </c>
      <c r="J177" s="1" t="str">
        <f t="shared" si="21"/>
        <v>Elizabeth Andrew</v>
      </c>
      <c r="K177" s="1" t="str">
        <f t="shared" si="22"/>
        <v>Unique</v>
      </c>
      <c r="L177" s="1" t="str">
        <f t="shared" si="29"/>
        <v>elizabethandrew@3mtt.com</v>
      </c>
      <c r="M177" s="1" t="s">
        <v>17</v>
      </c>
      <c r="N177" s="1" t="str">
        <f t="shared" si="28"/>
        <v xml:space="preserve">Female </v>
      </c>
      <c r="O177" s="1">
        <v>15</v>
      </c>
      <c r="P177" s="1">
        <v>13</v>
      </c>
      <c r="Q177" s="1">
        <v>35</v>
      </c>
      <c r="R177" s="2" cm="1">
        <f t="array" ref="R177">IF(AND(ISNUMBER(O177:Q177),SUM(O177:Q177)&lt;100),SUM(O177:Q177),"No Score")</f>
        <v>63</v>
      </c>
      <c r="S177" t="str" cm="1">
        <f t="array" ref="S177">_xlfn.IFS(AND(R177 &gt;=91,R177 &lt;=100),"A+",AND(R177 &gt;=71,R177 &lt;=90),"A",AND(R177 &gt;=61,R177 &lt;=70),"B",AND(R177 &gt;=51,R177 &lt;=60),"C",AND(R177 &gt;=40,R177 &lt;=50),"D",R177 &lt;40,"F",R177="No Score","No Grade",OR(R177&gt;100,R177&lt;0),"Invalid score")</f>
        <v>B</v>
      </c>
      <c r="T177" t="str" cm="1">
        <f t="array" ref="T177">_xlfn.IFS(S177="A+","Distinction",S177="A","Excellent", S177="B","Credit",S177="C","Very Good", S177="D","Good",S177="F","Poor",OR(S177="No Grade",S177="Invalid Score"),"No Remark")</f>
        <v>Credit</v>
      </c>
    </row>
    <row r="178" spans="1:20" x14ac:dyDescent="0.2">
      <c r="A178" s="1" t="s">
        <v>552</v>
      </c>
      <c r="B178" s="7">
        <f t="shared" si="20"/>
        <v>45543.655069444445</v>
      </c>
      <c r="C178" s="8">
        <f t="shared" si="23"/>
        <v>45543.655069444445</v>
      </c>
      <c r="D178" s="9">
        <f t="shared" si="24"/>
        <v>0.65506944444496185</v>
      </c>
      <c r="E178" s="1" t="s">
        <v>545</v>
      </c>
      <c r="F178" s="1" t="s">
        <v>553</v>
      </c>
      <c r="G178" s="1" t="str">
        <f t="shared" si="25"/>
        <v>Oluwafemi</v>
      </c>
      <c r="H178" s="1" t="s">
        <v>554</v>
      </c>
      <c r="I178" s="1" t="str">
        <f t="shared" si="26"/>
        <v>Adeleke</v>
      </c>
      <c r="J178" s="1" t="str">
        <f t="shared" si="21"/>
        <v>Oluwafemi Adeleke</v>
      </c>
      <c r="K178" s="1" t="str">
        <f t="shared" si="22"/>
        <v>Unique</v>
      </c>
      <c r="L178" s="1" t="str">
        <f t="shared" si="29"/>
        <v>oluwafemiadeleke@3mtt.com</v>
      </c>
      <c r="M178" s="1" t="s">
        <v>53</v>
      </c>
      <c r="N178" s="1" t="str">
        <f t="shared" si="28"/>
        <v xml:space="preserve">Male </v>
      </c>
      <c r="O178" s="1">
        <v>15</v>
      </c>
      <c r="P178" s="1">
        <v>20</v>
      </c>
      <c r="Q178" s="1">
        <v>50</v>
      </c>
      <c r="R178" s="2" cm="1">
        <f t="array" ref="R178">IF(AND(ISNUMBER(O178:Q178),SUM(O178:Q178)&lt;100),SUM(O178:Q178),"No Score")</f>
        <v>85</v>
      </c>
      <c r="S178" t="str" cm="1">
        <f t="array" ref="S178">_xlfn.IFS(AND(R178 &gt;=91,R178 &lt;=100),"A+",AND(R178 &gt;=71,R178 &lt;=90),"A",AND(R178 &gt;=61,R178 &lt;=70),"B",AND(R178 &gt;=51,R178 &lt;=60),"C",AND(R178 &gt;=40,R178 &lt;=50),"D",R178 &lt;40,"F",R178="No Score","No Grade",OR(R178&gt;100,R178&lt;0),"Invalid score")</f>
        <v>A</v>
      </c>
      <c r="T178" t="str" cm="1">
        <f t="array" ref="T178">_xlfn.IFS(S178="A+","Distinction",S178="A","Excellent", S178="B","Credit",S178="C","Very Good", S178="D","Good",S178="F","Poor",OR(S178="No Grade",S178="Invalid Score"),"No Remark")</f>
        <v>Excellent</v>
      </c>
    </row>
    <row r="179" spans="1:20" x14ac:dyDescent="0.2">
      <c r="A179" s="1" t="s">
        <v>555</v>
      </c>
      <c r="B179" s="7">
        <f t="shared" si="20"/>
        <v>45543.656006944446</v>
      </c>
      <c r="C179" s="8">
        <f t="shared" si="23"/>
        <v>45543.656006944446</v>
      </c>
      <c r="D179" s="9">
        <f t="shared" si="24"/>
        <v>0.65600694444583496</v>
      </c>
      <c r="E179" s="1" t="s">
        <v>545</v>
      </c>
      <c r="F179" s="1" t="s">
        <v>556</v>
      </c>
      <c r="G179" s="1" t="str">
        <f t="shared" si="25"/>
        <v>Eniola</v>
      </c>
      <c r="H179" s="1" t="s">
        <v>557</v>
      </c>
      <c r="I179" s="1" t="str">
        <f t="shared" si="26"/>
        <v>Williams</v>
      </c>
      <c r="J179" s="1" t="str">
        <f t="shared" si="21"/>
        <v>Eniola Williams</v>
      </c>
      <c r="K179" s="1" t="str">
        <f t="shared" si="22"/>
        <v>Unique</v>
      </c>
      <c r="L179" s="1" t="str">
        <f t="shared" si="29"/>
        <v>eniolawilliams@3mtt.com</v>
      </c>
      <c r="M179" s="1" t="s">
        <v>17</v>
      </c>
      <c r="N179" s="1" t="str">
        <f t="shared" si="28"/>
        <v xml:space="preserve">Female </v>
      </c>
      <c r="O179" s="1">
        <v>18</v>
      </c>
      <c r="P179" s="1">
        <v>18</v>
      </c>
      <c r="Q179" s="1">
        <v>55</v>
      </c>
      <c r="R179" s="2" cm="1">
        <f t="array" ref="R179">IF(AND(ISNUMBER(O179:Q179),SUM(O179:Q179)&lt;100),SUM(O179:Q179),"No Score")</f>
        <v>91</v>
      </c>
      <c r="S179" t="str" cm="1">
        <f t="array" ref="S179">_xlfn.IFS(AND(R179 &gt;=91,R179 &lt;=100),"A+",AND(R179 &gt;=71,R179 &lt;=90),"A",AND(R179 &gt;=61,R179 &lt;=70),"B",AND(R179 &gt;=51,R179 &lt;=60),"C",AND(R179 &gt;=40,R179 &lt;=50),"D",R179 &lt;40,"F",R179="No Score","No Grade",OR(R179&gt;100,R179&lt;0),"Invalid score")</f>
        <v>A+</v>
      </c>
      <c r="T179" t="str" cm="1">
        <f t="array" ref="T179">_xlfn.IFS(S179="A+","Distinction",S179="A","Excellent", S179="B","Credit",S179="C","Very Good", S179="D","Good",S179="F","Poor",OR(S179="No Grade",S179="Invalid Score"),"No Remark")</f>
        <v>Distinction</v>
      </c>
    </row>
    <row r="180" spans="1:20" x14ac:dyDescent="0.2">
      <c r="A180" s="1" t="s">
        <v>558</v>
      </c>
      <c r="B180" s="7">
        <f t="shared" si="20"/>
        <v>45543.67701388889</v>
      </c>
      <c r="C180" s="8">
        <f t="shared" si="23"/>
        <v>45543.67701388889</v>
      </c>
      <c r="D180" s="9">
        <f t="shared" si="24"/>
        <v>0.67701388888963265</v>
      </c>
      <c r="E180" s="1" t="s">
        <v>559</v>
      </c>
      <c r="F180" s="1" t="s">
        <v>560</v>
      </c>
      <c r="G180" s="1" t="str">
        <f t="shared" si="25"/>
        <v>Blessing</v>
      </c>
      <c r="H180" s="1" t="s">
        <v>561</v>
      </c>
      <c r="I180" s="1" t="str">
        <f t="shared" si="26"/>
        <v>Joseph</v>
      </c>
      <c r="J180" s="1" t="str">
        <f t="shared" si="21"/>
        <v>Blessing Joseph</v>
      </c>
      <c r="K180" s="1" t="str">
        <f t="shared" si="22"/>
        <v>Unique</v>
      </c>
      <c r="L180" s="1" t="str">
        <f t="shared" si="29"/>
        <v>blessingjoseph@3mtt.com</v>
      </c>
      <c r="M180" s="1" t="s">
        <v>17</v>
      </c>
      <c r="N180" s="1" t="str">
        <f t="shared" si="28"/>
        <v xml:space="preserve">Female </v>
      </c>
      <c r="O180" s="1">
        <v>12</v>
      </c>
      <c r="P180" s="1">
        <v>18</v>
      </c>
      <c r="Q180" s="1">
        <v>39</v>
      </c>
      <c r="R180" s="2" cm="1">
        <f t="array" ref="R180">IF(AND(ISNUMBER(O180:Q180),SUM(O180:Q180)&lt;100),SUM(O180:Q180),"No Score")</f>
        <v>69</v>
      </c>
      <c r="S180" t="str" cm="1">
        <f t="array" ref="S180">_xlfn.IFS(AND(R180 &gt;=91,R180 &lt;=100),"A+",AND(R180 &gt;=71,R180 &lt;=90),"A",AND(R180 &gt;=61,R180 &lt;=70),"B",AND(R180 &gt;=51,R180 &lt;=60),"C",AND(R180 &gt;=40,R180 &lt;=50),"D",R180 &lt;40,"F",R180="No Score","No Grade",OR(R180&gt;100,R180&lt;0),"Invalid score")</f>
        <v>B</v>
      </c>
      <c r="T180" t="str" cm="1">
        <f t="array" ref="T180">_xlfn.IFS(S180="A+","Distinction",S180="A","Excellent", S180="B","Credit",S180="C","Very Good", S180="D","Good",S180="F","Poor",OR(S180="No Grade",S180="Invalid Score"),"No Remark")</f>
        <v>Credit</v>
      </c>
    </row>
    <row r="181" spans="1:20" x14ac:dyDescent="0.2">
      <c r="A181" s="1" t="s">
        <v>562</v>
      </c>
      <c r="B181" s="7">
        <f t="shared" si="20"/>
        <v>45543.677766203706</v>
      </c>
      <c r="C181" s="8">
        <f t="shared" si="23"/>
        <v>45543.677766203706</v>
      </c>
      <c r="D181" s="9">
        <f t="shared" si="24"/>
        <v>0.67776620370568708</v>
      </c>
      <c r="E181" s="1" t="s">
        <v>559</v>
      </c>
      <c r="F181" s="1" t="s">
        <v>100</v>
      </c>
      <c r="G181" s="1" t="str">
        <f t="shared" si="25"/>
        <v>Paul</v>
      </c>
      <c r="H181" s="1" t="s">
        <v>563</v>
      </c>
      <c r="I181" s="1" t="str">
        <f t="shared" si="26"/>
        <v>Adama</v>
      </c>
      <c r="J181" s="1" t="str">
        <f t="shared" si="21"/>
        <v>Paul Adama</v>
      </c>
      <c r="K181" s="1" t="str">
        <f t="shared" si="22"/>
        <v>Unique</v>
      </c>
      <c r="L181" s="1" t="str">
        <f t="shared" si="29"/>
        <v>pauladama@3mtt.com</v>
      </c>
      <c r="M181" s="1" t="s">
        <v>169</v>
      </c>
      <c r="N181" s="1" t="str">
        <f t="shared" si="28"/>
        <v>Male</v>
      </c>
      <c r="O181" s="1">
        <v>17</v>
      </c>
      <c r="P181" s="1">
        <v>14</v>
      </c>
      <c r="Q181" s="1">
        <v>41</v>
      </c>
      <c r="R181" s="2" cm="1">
        <f t="array" ref="R181">IF(AND(ISNUMBER(O181:Q181),SUM(O181:Q181)&lt;100),SUM(O181:Q181),"No Score")</f>
        <v>72</v>
      </c>
      <c r="S181" t="str" cm="1">
        <f t="array" ref="S181">_xlfn.IFS(AND(R181 &gt;=91,R181 &lt;=100),"A+",AND(R181 &gt;=71,R181 &lt;=90),"A",AND(R181 &gt;=61,R181 &lt;=70),"B",AND(R181 &gt;=51,R181 &lt;=60),"C",AND(R181 &gt;=40,R181 &lt;=50),"D",R181 &lt;40,"F",R181="No Score","No Grade",OR(R181&gt;100,R181&lt;0),"Invalid score")</f>
        <v>A</v>
      </c>
      <c r="T181" t="str" cm="1">
        <f t="array" ref="T181">_xlfn.IFS(S181="A+","Distinction",S181="A","Excellent", S181="B","Credit",S181="C","Very Good", S181="D","Good",S181="F","Poor",OR(S181="No Grade",S181="Invalid Score"),"No Remark")</f>
        <v>Excellent</v>
      </c>
    </row>
    <row r="182" spans="1:20" x14ac:dyDescent="0.2">
      <c r="A182" s="1" t="s">
        <v>564</v>
      </c>
      <c r="B182" s="7">
        <f t="shared" si="20"/>
        <v>45543.678333333337</v>
      </c>
      <c r="C182" s="8">
        <f t="shared" si="23"/>
        <v>45543.678333333337</v>
      </c>
      <c r="D182" s="9">
        <f t="shared" si="24"/>
        <v>0.67833333333692281</v>
      </c>
      <c r="E182" s="1" t="s">
        <v>559</v>
      </c>
      <c r="F182" s="1" t="s">
        <v>565</v>
      </c>
      <c r="G182" s="1" t="str">
        <f t="shared" si="25"/>
        <v>Akim</v>
      </c>
      <c r="H182" s="1" t="s">
        <v>566</v>
      </c>
      <c r="I182" s="1" t="str">
        <f t="shared" si="26"/>
        <v>Juliet</v>
      </c>
      <c r="J182" s="1" t="str">
        <f t="shared" si="21"/>
        <v>Akim Juliet</v>
      </c>
      <c r="K182" s="1" t="str">
        <f t="shared" si="22"/>
        <v>Unique</v>
      </c>
      <c r="L182" s="1" t="str">
        <f t="shared" si="29"/>
        <v>akimjuliet@3mtt.com</v>
      </c>
      <c r="M182" s="1" t="s">
        <v>567</v>
      </c>
      <c r="N182" s="1" t="str">
        <f t="shared" si="28"/>
        <v xml:space="preserve">Female </v>
      </c>
      <c r="O182" s="1">
        <v>12</v>
      </c>
      <c r="P182" s="1">
        <v>13</v>
      </c>
      <c r="Q182" s="1">
        <v>50</v>
      </c>
      <c r="R182" s="2" cm="1">
        <f t="array" ref="R182">IF(AND(ISNUMBER(O182:Q182),SUM(O182:Q182)&lt;100),SUM(O182:Q182),"No Score")</f>
        <v>75</v>
      </c>
      <c r="S182" t="str" cm="1">
        <f t="array" ref="S182">_xlfn.IFS(AND(R182 &gt;=91,R182 &lt;=100),"A+",AND(R182 &gt;=71,R182 &lt;=90),"A",AND(R182 &gt;=61,R182 &lt;=70),"B",AND(R182 &gt;=51,R182 &lt;=60),"C",AND(R182 &gt;=40,R182 &lt;=50),"D",R182 &lt;40,"F",R182="No Score","No Grade",OR(R182&gt;100,R182&lt;0),"Invalid score")</f>
        <v>A</v>
      </c>
      <c r="T182" t="str" cm="1">
        <f t="array" ref="T182">_xlfn.IFS(S182="A+","Distinction",S182="A","Excellent", S182="B","Credit",S182="C","Very Good", S182="D","Good",S182="F","Poor",OR(S182="No Grade",S182="Invalid Score"),"No Remark")</f>
        <v>Excellent</v>
      </c>
    </row>
    <row r="183" spans="1:20" x14ac:dyDescent="0.2">
      <c r="A183" s="1" t="s">
        <v>568</v>
      </c>
      <c r="B183" s="7">
        <f t="shared" si="20"/>
        <v>45543.678946759261</v>
      </c>
      <c r="C183" s="8">
        <f t="shared" si="23"/>
        <v>45543.678946759261</v>
      </c>
      <c r="D183" s="9">
        <f t="shared" si="24"/>
        <v>0.67894675926072523</v>
      </c>
      <c r="E183" s="1" t="s">
        <v>559</v>
      </c>
      <c r="F183" s="1" t="s">
        <v>569</v>
      </c>
      <c r="G183" s="1" t="str">
        <f t="shared" si="25"/>
        <v>Josephine</v>
      </c>
      <c r="H183" s="1" t="s">
        <v>570</v>
      </c>
      <c r="I183" s="1" t="str">
        <f t="shared" si="26"/>
        <v>Emmanuel</v>
      </c>
      <c r="J183" s="1" t="str">
        <f t="shared" si="21"/>
        <v>Josephine Emmanuel</v>
      </c>
      <c r="K183" s="1" t="str">
        <f t="shared" si="22"/>
        <v>Unique</v>
      </c>
      <c r="L183" s="1" t="str">
        <f t="shared" si="29"/>
        <v>josephineemmanuel@3mtt.com</v>
      </c>
      <c r="M183" s="1" t="s">
        <v>12</v>
      </c>
      <c r="N183" s="1" t="str">
        <f t="shared" si="28"/>
        <v>Female</v>
      </c>
      <c r="O183" s="1">
        <v>19</v>
      </c>
      <c r="P183" s="1">
        <v>15</v>
      </c>
      <c r="Q183" s="1">
        <v>54</v>
      </c>
      <c r="R183" s="2" cm="1">
        <f t="array" ref="R183">IF(AND(ISNUMBER(O183:Q183),SUM(O183:Q183)&lt;100),SUM(O183:Q183),"No Score")</f>
        <v>88</v>
      </c>
      <c r="S183" t="str" cm="1">
        <f t="array" ref="S183">_xlfn.IFS(AND(R183 &gt;=91,R183 &lt;=100),"A+",AND(R183 &gt;=71,R183 &lt;=90),"A",AND(R183 &gt;=61,R183 &lt;=70),"B",AND(R183 &gt;=51,R183 &lt;=60),"C",AND(R183 &gt;=40,R183 &lt;=50),"D",R183 &lt;40,"F",R183="No Score","No Grade",OR(R183&gt;100,R183&lt;0),"Invalid score")</f>
        <v>A</v>
      </c>
      <c r="T183" t="str" cm="1">
        <f t="array" ref="T183">_xlfn.IFS(S183="A+","Distinction",S183="A","Excellent", S183="B","Credit",S183="C","Very Good", S183="D","Good",S183="F","Poor",OR(S183="No Grade",S183="Invalid Score"),"No Remark")</f>
        <v>Excellent</v>
      </c>
    </row>
    <row r="184" spans="1:20" x14ac:dyDescent="0.2">
      <c r="A184" s="1" t="s">
        <v>571</v>
      </c>
      <c r="B184" s="7">
        <f t="shared" si="20"/>
        <v>45543.679375</v>
      </c>
      <c r="C184" s="8">
        <f t="shared" si="23"/>
        <v>45543.679375</v>
      </c>
      <c r="D184" s="9">
        <f t="shared" si="24"/>
        <v>0.67937499999970896</v>
      </c>
      <c r="E184" s="1" t="s">
        <v>559</v>
      </c>
      <c r="F184" s="1" t="s">
        <v>561</v>
      </c>
      <c r="G184" s="1" t="str">
        <f t="shared" si="25"/>
        <v>Joseph</v>
      </c>
      <c r="H184" s="1" t="s">
        <v>572</v>
      </c>
      <c r="I184" s="1" t="str">
        <f t="shared" si="26"/>
        <v>Aboi</v>
      </c>
      <c r="J184" s="1" t="str">
        <f t="shared" si="21"/>
        <v>Joseph Aboi</v>
      </c>
      <c r="K184" s="1" t="str">
        <f t="shared" si="22"/>
        <v>Unique</v>
      </c>
      <c r="L184" s="1" t="str">
        <f t="shared" si="29"/>
        <v>josephaboi@3mtt.com</v>
      </c>
      <c r="M184" s="1" t="s">
        <v>21</v>
      </c>
      <c r="N184" s="1" t="str">
        <f t="shared" si="28"/>
        <v>Male</v>
      </c>
      <c r="O184" s="1">
        <v>19</v>
      </c>
      <c r="P184" s="1">
        <v>16</v>
      </c>
      <c r="Q184" s="1">
        <v>49</v>
      </c>
      <c r="R184" s="2" cm="1">
        <f t="array" ref="R184">IF(AND(ISNUMBER(O184:Q184),SUM(O184:Q184)&lt;100),SUM(O184:Q184),"No Score")</f>
        <v>84</v>
      </c>
      <c r="S184" t="str" cm="1">
        <f t="array" ref="S184">_xlfn.IFS(AND(R184 &gt;=91,R184 &lt;=100),"A+",AND(R184 &gt;=71,R184 &lt;=90),"A",AND(R184 &gt;=61,R184 &lt;=70),"B",AND(R184 &gt;=51,R184 &lt;=60),"C",AND(R184 &gt;=40,R184 &lt;=50),"D",R184 &lt;40,"F",R184="No Score","No Grade",OR(R184&gt;100,R184&lt;0),"Invalid score")</f>
        <v>A</v>
      </c>
      <c r="T184" t="str" cm="1">
        <f t="array" ref="T184">_xlfn.IFS(S184="A+","Distinction",S184="A","Excellent", S184="B","Credit",S184="C","Very Good", S184="D","Good",S184="F","Poor",OR(S184="No Grade",S184="Invalid Score"),"No Remark")</f>
        <v>Excellent</v>
      </c>
    </row>
    <row r="185" spans="1:20" x14ac:dyDescent="0.2">
      <c r="A185" s="1" t="s">
        <v>573</v>
      </c>
      <c r="B185" s="7">
        <f t="shared" si="20"/>
        <v>45543.720208333332</v>
      </c>
      <c r="C185" s="8">
        <f t="shared" si="23"/>
        <v>45543.720208333332</v>
      </c>
      <c r="D185" s="9">
        <f t="shared" si="24"/>
        <v>0.72020833333226619</v>
      </c>
      <c r="E185" s="1" t="s">
        <v>574</v>
      </c>
      <c r="F185" s="1" t="s">
        <v>569</v>
      </c>
      <c r="G185" s="1" t="str">
        <f t="shared" si="25"/>
        <v>Josephine</v>
      </c>
      <c r="H185" s="1" t="s">
        <v>575</v>
      </c>
      <c r="I185" s="1" t="str">
        <f t="shared" si="26"/>
        <v>Amaechi</v>
      </c>
      <c r="J185" s="1" t="str">
        <f t="shared" si="21"/>
        <v>Josephine Amaechi</v>
      </c>
      <c r="K185" s="1" t="str">
        <f t="shared" si="22"/>
        <v>Unique</v>
      </c>
      <c r="L185" s="1" t="str">
        <f t="shared" si="29"/>
        <v>josephineamaechi@3mtt.com</v>
      </c>
      <c r="M185" s="1" t="s">
        <v>17</v>
      </c>
      <c r="N185" s="1" t="str">
        <f t="shared" si="28"/>
        <v xml:space="preserve">Female </v>
      </c>
      <c r="O185" s="1">
        <v>15</v>
      </c>
      <c r="P185" s="1">
        <v>19</v>
      </c>
      <c r="Q185" s="1">
        <v>55</v>
      </c>
      <c r="R185" s="2" cm="1">
        <f t="array" ref="R185">IF(AND(ISNUMBER(O185:Q185),SUM(O185:Q185)&lt;100),SUM(O185:Q185),"No Score")</f>
        <v>89</v>
      </c>
      <c r="S185" t="str" cm="1">
        <f t="array" ref="S185">_xlfn.IFS(AND(R185 &gt;=91,R185 &lt;=100),"A+",AND(R185 &gt;=71,R185 &lt;=90),"A",AND(R185 &gt;=61,R185 &lt;=70),"B",AND(R185 &gt;=51,R185 &lt;=60),"C",AND(R185 &gt;=40,R185 &lt;=50),"D",R185 &lt;40,"F",R185="No Score","No Grade",OR(R185&gt;100,R185&lt;0),"Invalid score")</f>
        <v>A</v>
      </c>
      <c r="T185" t="str" cm="1">
        <f t="array" ref="T185">_xlfn.IFS(S185="A+","Distinction",S185="A","Excellent", S185="B","Credit",S185="C","Very Good", S185="D","Good",S185="F","Poor",OR(S185="No Grade",S185="Invalid Score"),"No Remark")</f>
        <v>Excellent</v>
      </c>
    </row>
    <row r="186" spans="1:20" x14ac:dyDescent="0.2">
      <c r="A186" s="1" t="s">
        <v>576</v>
      </c>
      <c r="B186" s="7">
        <f t="shared" si="20"/>
        <v>45543.720405092594</v>
      </c>
      <c r="C186" s="8">
        <f t="shared" si="23"/>
        <v>45543.720405092594</v>
      </c>
      <c r="D186" s="9">
        <f t="shared" si="24"/>
        <v>0.72040509259386454</v>
      </c>
      <c r="E186" s="1" t="s">
        <v>577</v>
      </c>
      <c r="F186" s="1" t="s">
        <v>159</v>
      </c>
      <c r="G186" s="1" t="str">
        <f t="shared" si="25"/>
        <v>James</v>
      </c>
      <c r="H186" s="1" t="s">
        <v>578</v>
      </c>
      <c r="I186" s="1" t="str">
        <f t="shared" si="26"/>
        <v>Abu</v>
      </c>
      <c r="J186" s="1" t="str">
        <f t="shared" si="21"/>
        <v>James Abu</v>
      </c>
      <c r="K186" s="1" t="str">
        <f t="shared" si="22"/>
        <v>Unique</v>
      </c>
      <c r="L186" s="1" t="str">
        <f t="shared" si="29"/>
        <v>jamesabu@3mtt.com</v>
      </c>
      <c r="M186" s="1" t="s">
        <v>21</v>
      </c>
      <c r="N186" s="1" t="str">
        <f t="shared" si="28"/>
        <v>Male</v>
      </c>
      <c r="O186" s="1">
        <v>15</v>
      </c>
      <c r="P186" s="1">
        <v>18</v>
      </c>
      <c r="Q186" s="1">
        <v>40</v>
      </c>
      <c r="R186" s="2" cm="1">
        <f t="array" ref="R186">IF(AND(ISNUMBER(O186:Q186),SUM(O186:Q186)&lt;100),SUM(O186:Q186),"No Score")</f>
        <v>73</v>
      </c>
      <c r="S186" t="str" cm="1">
        <f t="array" ref="S186">_xlfn.IFS(AND(R186 &gt;=91,R186 &lt;=100),"A+",AND(R186 &gt;=71,R186 &lt;=90),"A",AND(R186 &gt;=61,R186 &lt;=70),"B",AND(R186 &gt;=51,R186 &lt;=60),"C",AND(R186 &gt;=40,R186 &lt;=50),"D",R186 &lt;40,"F",R186="No Score","No Grade",OR(R186&gt;100,R186&lt;0),"Invalid score")</f>
        <v>A</v>
      </c>
      <c r="T186" t="str" cm="1">
        <f t="array" ref="T186">_xlfn.IFS(S186="A+","Distinction",S186="A","Excellent", S186="B","Credit",S186="C","Very Good", S186="D","Good",S186="F","Poor",OR(S186="No Grade",S186="Invalid Score"),"No Remark")</f>
        <v>Excellent</v>
      </c>
    </row>
    <row r="187" spans="1:20" x14ac:dyDescent="0.2">
      <c r="A187" s="1" t="s">
        <v>579</v>
      </c>
      <c r="B187" s="7">
        <f t="shared" si="20"/>
        <v>45543.72078703704</v>
      </c>
      <c r="C187" s="8">
        <f t="shared" si="23"/>
        <v>45543.72078703704</v>
      </c>
      <c r="D187" s="9">
        <f t="shared" si="24"/>
        <v>0.72078703704028158</v>
      </c>
      <c r="E187" s="1" t="s">
        <v>574</v>
      </c>
      <c r="F187" s="1" t="s">
        <v>422</v>
      </c>
      <c r="G187" s="1" t="str">
        <f t="shared" si="25"/>
        <v>Umar</v>
      </c>
      <c r="H187" s="1" t="s">
        <v>580</v>
      </c>
      <c r="I187" s="1" t="str">
        <f t="shared" si="26"/>
        <v>Abdullahi</v>
      </c>
      <c r="J187" s="1" t="str">
        <f t="shared" si="21"/>
        <v>Umar Abdullahi</v>
      </c>
      <c r="K187" s="1" t="str">
        <f t="shared" si="22"/>
        <v>Unique</v>
      </c>
      <c r="L187" s="1" t="str">
        <f t="shared" si="29"/>
        <v>umarabdullahi@3mtt.com</v>
      </c>
      <c r="M187" s="1" t="s">
        <v>21</v>
      </c>
      <c r="N187" s="1" t="str">
        <f t="shared" si="28"/>
        <v>Male</v>
      </c>
      <c r="O187" s="1">
        <v>12</v>
      </c>
      <c r="P187" s="1">
        <v>18</v>
      </c>
      <c r="Q187" s="1">
        <v>35</v>
      </c>
      <c r="R187" s="2" cm="1">
        <f t="array" ref="R187">IF(AND(ISNUMBER(O187:Q187),SUM(O187:Q187)&lt;100),SUM(O187:Q187),"No Score")</f>
        <v>65</v>
      </c>
      <c r="S187" t="str" cm="1">
        <f t="array" ref="S187">_xlfn.IFS(AND(R187 &gt;=91,R187 &lt;=100),"A+",AND(R187 &gt;=71,R187 &lt;=90),"A",AND(R187 &gt;=61,R187 &lt;=70),"B",AND(R187 &gt;=51,R187 &lt;=60),"C",AND(R187 &gt;=40,R187 &lt;=50),"D",R187 &lt;40,"F",R187="No Score","No Grade",OR(R187&gt;100,R187&lt;0),"Invalid score")</f>
        <v>B</v>
      </c>
      <c r="T187" t="str" cm="1">
        <f t="array" ref="T187">_xlfn.IFS(S187="A+","Distinction",S187="A","Excellent", S187="B","Credit",S187="C","Very Good", S187="D","Good",S187="F","Poor",OR(S187="No Grade",S187="Invalid Score"),"No Remark")</f>
        <v>Credit</v>
      </c>
    </row>
    <row r="188" spans="1:20" x14ac:dyDescent="0.2">
      <c r="A188" s="1" t="s">
        <v>581</v>
      </c>
      <c r="B188" s="7">
        <f t="shared" si="20"/>
        <v>45543.72111111111</v>
      </c>
      <c r="C188" s="8">
        <f t="shared" si="23"/>
        <v>45543.72111111111</v>
      </c>
      <c r="D188" s="9">
        <f t="shared" si="24"/>
        <v>0.72111111111007631</v>
      </c>
      <c r="E188" s="1" t="s">
        <v>577</v>
      </c>
      <c r="F188" s="1" t="s">
        <v>204</v>
      </c>
      <c r="G188" s="1" t="str">
        <f t="shared" si="25"/>
        <v>Felicia</v>
      </c>
      <c r="H188" s="1" t="s">
        <v>582</v>
      </c>
      <c r="I188" s="1" t="str">
        <f t="shared" si="26"/>
        <v>Edeh</v>
      </c>
      <c r="J188" s="1" t="str">
        <f t="shared" si="21"/>
        <v>Felicia Edeh</v>
      </c>
      <c r="K188" s="1" t="str">
        <f t="shared" si="22"/>
        <v>Unique</v>
      </c>
      <c r="L188" s="1" t="str">
        <f t="shared" si="29"/>
        <v>feliciaedeh@3mtt.com</v>
      </c>
      <c r="M188" s="1" t="s">
        <v>12</v>
      </c>
      <c r="N188" s="1" t="str">
        <f t="shared" si="28"/>
        <v>Female</v>
      </c>
      <c r="O188" s="1">
        <v>16</v>
      </c>
      <c r="P188" s="1">
        <v>20</v>
      </c>
      <c r="Q188" s="1">
        <v>59</v>
      </c>
      <c r="R188" s="2" cm="1">
        <f t="array" ref="R188">IF(AND(ISNUMBER(O188:Q188),SUM(O188:Q188)&lt;100),SUM(O188:Q188),"No Score")</f>
        <v>95</v>
      </c>
      <c r="S188" t="str" cm="1">
        <f t="array" ref="S188">_xlfn.IFS(AND(R188 &gt;=91,R188 &lt;=100),"A+",AND(R188 &gt;=71,R188 &lt;=90),"A",AND(R188 &gt;=61,R188 &lt;=70),"B",AND(R188 &gt;=51,R188 &lt;=60),"C",AND(R188 &gt;=40,R188 &lt;=50),"D",R188 &lt;40,"F",R188="No Score","No Grade",OR(R188&gt;100,R188&lt;0),"Invalid score")</f>
        <v>A+</v>
      </c>
      <c r="T188" t="str" cm="1">
        <f t="array" ref="T188">_xlfn.IFS(S188="A+","Distinction",S188="A","Excellent", S188="B","Credit",S188="C","Very Good", S188="D","Good",S188="F","Poor",OR(S188="No Grade",S188="Invalid Score"),"No Remark")</f>
        <v>Distinction</v>
      </c>
    </row>
    <row r="189" spans="1:20" x14ac:dyDescent="0.2">
      <c r="A189" s="1" t="s">
        <v>583</v>
      </c>
      <c r="B189" s="7">
        <f t="shared" si="20"/>
        <v>45543.72146990741</v>
      </c>
      <c r="C189" s="8">
        <f t="shared" si="23"/>
        <v>45543.72146990741</v>
      </c>
      <c r="D189" s="9">
        <f t="shared" si="24"/>
        <v>0.72146990741021</v>
      </c>
      <c r="E189" s="1" t="s">
        <v>574</v>
      </c>
      <c r="F189" s="1" t="s">
        <v>584</v>
      </c>
      <c r="G189" s="1" t="str">
        <f t="shared" si="25"/>
        <v>Ngozi</v>
      </c>
      <c r="H189" s="1" t="s">
        <v>585</v>
      </c>
      <c r="I189" s="1" t="str">
        <f t="shared" si="26"/>
        <v>Chinedu</v>
      </c>
      <c r="J189" s="1" t="str">
        <f t="shared" si="21"/>
        <v>Ngozi Chinedu</v>
      </c>
      <c r="K189" s="1" t="str">
        <f t="shared" si="22"/>
        <v>Unique</v>
      </c>
      <c r="L189" s="1" t="str">
        <f t="shared" si="29"/>
        <v>ngozichinedu@3mtt.com</v>
      </c>
      <c r="M189" s="1" t="s">
        <v>12</v>
      </c>
      <c r="N189" s="1" t="str">
        <f t="shared" si="28"/>
        <v>Female</v>
      </c>
      <c r="O189" s="1">
        <v>14</v>
      </c>
      <c r="P189" s="1">
        <v>17</v>
      </c>
      <c r="Q189" s="1">
        <v>52</v>
      </c>
      <c r="R189" s="2" cm="1">
        <f t="array" ref="R189">IF(AND(ISNUMBER(O189:Q189),SUM(O189:Q189)&lt;100),SUM(O189:Q189),"No Score")</f>
        <v>83</v>
      </c>
      <c r="S189" t="str" cm="1">
        <f t="array" ref="S189">_xlfn.IFS(AND(R189 &gt;=91,R189 &lt;=100),"A+",AND(R189 &gt;=71,R189 &lt;=90),"A",AND(R189 &gt;=61,R189 &lt;=70),"B",AND(R189 &gt;=51,R189 &lt;=60),"C",AND(R189 &gt;=40,R189 &lt;=50),"D",R189 &lt;40,"F",R189="No Score","No Grade",OR(R189&gt;100,R189&lt;0),"Invalid score")</f>
        <v>A</v>
      </c>
      <c r="T189" t="str" cm="1">
        <f t="array" ref="T189">_xlfn.IFS(S189="A+","Distinction",S189="A","Excellent", S189="B","Credit",S189="C","Very Good", S189="D","Good",S189="F","Poor",OR(S189="No Grade",S189="Invalid Score"),"No Remark")</f>
        <v>Excellent</v>
      </c>
    </row>
    <row r="190" spans="1:20" x14ac:dyDescent="0.2">
      <c r="A190" s="1" t="s">
        <v>586</v>
      </c>
      <c r="B190" s="7">
        <f t="shared" si="20"/>
        <v>45543.721828703703</v>
      </c>
      <c r="C190" s="8">
        <f t="shared" si="23"/>
        <v>45543.721828703703</v>
      </c>
      <c r="D190" s="9">
        <f t="shared" si="24"/>
        <v>0.72182870370306773</v>
      </c>
      <c r="E190" s="1" t="s">
        <v>577</v>
      </c>
      <c r="F190" s="1" t="s">
        <v>288</v>
      </c>
      <c r="G190" s="1" t="str">
        <f t="shared" si="25"/>
        <v>Samuel</v>
      </c>
      <c r="H190" s="1" t="s">
        <v>346</v>
      </c>
      <c r="I190" s="1" t="str">
        <f t="shared" si="26"/>
        <v>Jonah</v>
      </c>
      <c r="J190" s="1" t="str">
        <f t="shared" si="21"/>
        <v>Samuel Jonah</v>
      </c>
      <c r="K190" s="1" t="str">
        <f t="shared" si="22"/>
        <v>Unique</v>
      </c>
      <c r="L190" s="1" t="str">
        <f t="shared" si="29"/>
        <v>samueljonah@3mtt.com</v>
      </c>
      <c r="M190" s="1" t="s">
        <v>21</v>
      </c>
      <c r="N190" s="1" t="str">
        <f t="shared" si="28"/>
        <v>Male</v>
      </c>
      <c r="O190" s="1">
        <v>5</v>
      </c>
      <c r="P190" s="1">
        <v>10</v>
      </c>
      <c r="Q190" s="1">
        <v>60</v>
      </c>
      <c r="R190" s="2" cm="1">
        <f t="array" ref="R190">IF(AND(ISNUMBER(O190:Q190),SUM(O190:Q190)&lt;100),SUM(O190:Q190),"No Score")</f>
        <v>75</v>
      </c>
      <c r="S190" t="str" cm="1">
        <f t="array" ref="S190">_xlfn.IFS(AND(R190 &gt;=91,R190 &lt;=100),"A+",AND(R190 &gt;=71,R190 &lt;=90),"A",AND(R190 &gt;=61,R190 &lt;=70),"B",AND(R190 &gt;=51,R190 &lt;=60),"C",AND(R190 &gt;=40,R190 &lt;=50),"D",R190 &lt;40,"F",R190="No Score","No Grade",OR(R190&gt;100,R190&lt;0),"Invalid score")</f>
        <v>A</v>
      </c>
      <c r="T190" t="str" cm="1">
        <f t="array" ref="T190">_xlfn.IFS(S190="A+","Distinction",S190="A","Excellent", S190="B","Credit",S190="C","Very Good", S190="D","Good",S190="F","Poor",OR(S190="No Grade",S190="Invalid Score"),"No Remark")</f>
        <v>Excellent</v>
      </c>
    </row>
    <row r="191" spans="1:20" x14ac:dyDescent="0.2">
      <c r="A191" s="1" t="s">
        <v>587</v>
      </c>
      <c r="B191" s="7">
        <f t="shared" si="20"/>
        <v>45543.722025462965</v>
      </c>
      <c r="C191" s="8">
        <f t="shared" si="23"/>
        <v>45543.722025462965</v>
      </c>
      <c r="D191" s="9">
        <f t="shared" si="24"/>
        <v>0.72202546296466608</v>
      </c>
      <c r="E191" s="1" t="s">
        <v>574</v>
      </c>
      <c r="F191" s="1" t="s">
        <v>588</v>
      </c>
      <c r="G191" s="1" t="str">
        <f t="shared" si="25"/>
        <v>Ayo</v>
      </c>
      <c r="H191" s="1" t="s">
        <v>589</v>
      </c>
      <c r="I191" s="1" t="str">
        <f t="shared" si="26"/>
        <v>Adebayor</v>
      </c>
      <c r="J191" s="1" t="str">
        <f t="shared" si="21"/>
        <v>Ayo Adebayor</v>
      </c>
      <c r="K191" s="1" t="str">
        <f t="shared" si="22"/>
        <v>Unique</v>
      </c>
      <c r="L191" s="1" t="str">
        <f t="shared" si="29"/>
        <v>ayoadebayor@3mtt.com</v>
      </c>
      <c r="M191" s="1" t="s">
        <v>21</v>
      </c>
      <c r="N191" s="1" t="str">
        <f t="shared" si="28"/>
        <v>Male</v>
      </c>
      <c r="O191" s="1">
        <v>18</v>
      </c>
      <c r="P191" s="1">
        <v>18</v>
      </c>
      <c r="Q191" s="1">
        <v>58</v>
      </c>
      <c r="R191" s="2" cm="1">
        <f t="array" ref="R191">IF(AND(ISNUMBER(O191:Q191),SUM(O191:Q191)&lt;100),SUM(O191:Q191),"No Score")</f>
        <v>94</v>
      </c>
      <c r="S191" t="str" cm="1">
        <f t="array" ref="S191">_xlfn.IFS(AND(R191 &gt;=91,R191 &lt;=100),"A+",AND(R191 &gt;=71,R191 &lt;=90),"A",AND(R191 &gt;=61,R191 &lt;=70),"B",AND(R191 &gt;=51,R191 &lt;=60),"C",AND(R191 &gt;=40,R191 &lt;=50),"D",R191 &lt;40,"F",R191="No Score","No Grade",OR(R191&gt;100,R191&lt;0),"Invalid score")</f>
        <v>A+</v>
      </c>
      <c r="T191" t="str" cm="1">
        <f t="array" ref="T191">_xlfn.IFS(S191="A+","Distinction",S191="A","Excellent", S191="B","Credit",S191="C","Very Good", S191="D","Good",S191="F","Poor",OR(S191="No Grade",S191="Invalid Score"),"No Remark")</f>
        <v>Distinction</v>
      </c>
    </row>
    <row r="192" spans="1:20" x14ac:dyDescent="0.2">
      <c r="A192" s="1" t="s">
        <v>590</v>
      </c>
      <c r="B192" s="7">
        <f t="shared" si="20"/>
        <v>45543.722442129627</v>
      </c>
      <c r="C192" s="8">
        <f t="shared" si="23"/>
        <v>45543.722442129627</v>
      </c>
      <c r="D192" s="9">
        <f t="shared" si="24"/>
        <v>0.72244212962687016</v>
      </c>
      <c r="E192" s="1" t="s">
        <v>577</v>
      </c>
      <c r="F192" s="1" t="s">
        <v>591</v>
      </c>
      <c r="G192" s="1" t="str">
        <f t="shared" si="25"/>
        <v>Kosi</v>
      </c>
      <c r="H192" s="1" t="s">
        <v>592</v>
      </c>
      <c r="I192" s="1" t="str">
        <f t="shared" si="26"/>
        <v>Umeh</v>
      </c>
      <c r="J192" s="1" t="str">
        <f t="shared" si="21"/>
        <v>Kosi Umeh</v>
      </c>
      <c r="K192" s="1" t="str">
        <f t="shared" si="22"/>
        <v>Unique</v>
      </c>
      <c r="L192" s="1" t="str">
        <f t="shared" si="29"/>
        <v>kosiumeh@3mtt.com</v>
      </c>
      <c r="M192" s="1" t="s">
        <v>12</v>
      </c>
      <c r="N192" s="1" t="str">
        <f t="shared" si="28"/>
        <v>Female</v>
      </c>
      <c r="O192" s="1">
        <v>20</v>
      </c>
      <c r="P192" s="1">
        <v>20</v>
      </c>
      <c r="Q192" s="1">
        <v>30</v>
      </c>
      <c r="R192" s="2" cm="1">
        <f t="array" ref="R192">IF(AND(ISNUMBER(O192:Q192),SUM(O192:Q192)&lt;100),SUM(O192:Q192),"No Score")</f>
        <v>70</v>
      </c>
      <c r="S192" t="str" cm="1">
        <f t="array" ref="S192">_xlfn.IFS(AND(R192 &gt;=91,R192 &lt;=100),"A+",AND(R192 &gt;=71,R192 &lt;=90),"A",AND(R192 &gt;=61,R192 &lt;=70),"B",AND(R192 &gt;=51,R192 &lt;=60),"C",AND(R192 &gt;=40,R192 &lt;=50),"D",R192 &lt;40,"F",R192="No Score","No Grade",OR(R192&gt;100,R192&lt;0),"Invalid score")</f>
        <v>B</v>
      </c>
      <c r="T192" t="str" cm="1">
        <f t="array" ref="T192">_xlfn.IFS(S192="A+","Distinction",S192="A","Excellent", S192="B","Credit",S192="C","Very Good", S192="D","Good",S192="F","Poor",OR(S192="No Grade",S192="Invalid Score"),"No Remark")</f>
        <v>Credit</v>
      </c>
    </row>
    <row r="193" spans="1:20" x14ac:dyDescent="0.2">
      <c r="A193" s="3" t="s">
        <v>593</v>
      </c>
      <c r="B193" s="7">
        <f t="shared" si="20"/>
        <v>45543.722731481481</v>
      </c>
      <c r="C193" s="10">
        <f t="shared" si="23"/>
        <v>45543.722731481481</v>
      </c>
      <c r="D193" s="11">
        <f t="shared" si="24"/>
        <v>0.72273148148087785</v>
      </c>
      <c r="E193" s="3" t="s">
        <v>574</v>
      </c>
      <c r="F193" s="3" t="s">
        <v>273</v>
      </c>
      <c r="G193" s="1" t="str">
        <f t="shared" si="25"/>
        <v>Aisha</v>
      </c>
      <c r="H193" s="3" t="s">
        <v>107</v>
      </c>
      <c r="I193" s="1" t="str">
        <f t="shared" si="26"/>
        <v>Musa</v>
      </c>
      <c r="J193" s="3" t="str">
        <f t="shared" si="21"/>
        <v>Aisha Musa</v>
      </c>
      <c r="K193" s="3" t="str">
        <f t="shared" si="22"/>
        <v>Duplicate</v>
      </c>
      <c r="L193" s="3" t="str">
        <f t="shared" ref="L193:L198" si="30">_xlfn.CONCAT(LOWER(G193),LOWER(I193),"@3mtt.com")</f>
        <v>aishamusa@3mtt.com</v>
      </c>
      <c r="M193" s="1" t="s">
        <v>17</v>
      </c>
      <c r="N193" s="1" t="str">
        <f t="shared" si="28"/>
        <v xml:space="preserve">Female </v>
      </c>
      <c r="O193" s="3">
        <v>20</v>
      </c>
      <c r="P193" s="3">
        <v>19</v>
      </c>
      <c r="Q193" s="3">
        <v>56</v>
      </c>
      <c r="R193" s="2" cm="1">
        <f t="array" ref="R193">IF(AND(ISNUMBER(O193:Q193),SUM(O193:Q193)&lt;100),SUM(O193:Q193),"No Score")</f>
        <v>95</v>
      </c>
      <c r="S193" s="4" t="str" cm="1">
        <f t="array" ref="S193">_xlfn.IFS(AND(R193 &gt;=91,R193 &lt;=100),"A+",AND(R193 &gt;=71,R193 &lt;=90),"A",AND(R193 &gt;=61,R193 &lt;=70),"B",AND(R193 &gt;=51,R193 &lt;=60),"C",AND(R193 &gt;=40,R193 &lt;=50),"D",R193 &lt;40,"F",R193="No Score","No Grade",OR(R193&gt;100,R193&lt;0),"Invalid score")</f>
        <v>A+</v>
      </c>
      <c r="T193" s="4" t="str" cm="1">
        <f t="array" ref="T193">_xlfn.IFS(S193="A+","Distinction",S193="A","Excellent", S193="B","Credit",S193="C","Very Good", S193="D","Good",S193="F","Poor",OR(S193="No Grade",S193="Invalid Score"),"No Remark")</f>
        <v>Distinction</v>
      </c>
    </row>
    <row r="194" spans="1:20" x14ac:dyDescent="0.2">
      <c r="A194" s="1" t="s">
        <v>594</v>
      </c>
      <c r="B194" s="7">
        <f t="shared" ref="B194:B257" si="31">VALUE((SUBSTITUTE(A194,"GMT+1","")))</f>
        <v>45543.723217592589</v>
      </c>
      <c r="C194" s="8">
        <f t="shared" si="23"/>
        <v>45543.723217592589</v>
      </c>
      <c r="D194" s="9">
        <f t="shared" si="24"/>
        <v>0.72321759258920792</v>
      </c>
      <c r="E194" s="1" t="s">
        <v>577</v>
      </c>
      <c r="F194" s="1" t="s">
        <v>595</v>
      </c>
      <c r="G194" s="1" t="str">
        <f t="shared" si="25"/>
        <v>Elijah</v>
      </c>
      <c r="H194" s="1" t="s">
        <v>596</v>
      </c>
      <c r="I194" s="1" t="str">
        <f t="shared" si="26"/>
        <v>Sunday</v>
      </c>
      <c r="J194" s="1" t="str">
        <f t="shared" ref="J194:J257" si="32">_xlfn.CONCAT(G194," ",I194)</f>
        <v>Elijah Sunday</v>
      </c>
      <c r="K194" s="1" t="str">
        <f t="shared" ref="K194:K257" si="33">IF(COUNTIF($J$2:$J$258,J194)&gt;1,"Duplicate","Unique")</f>
        <v>Unique</v>
      </c>
      <c r="L194" s="1" t="str">
        <f t="shared" si="30"/>
        <v>elijahsunday@3mtt.com</v>
      </c>
      <c r="M194" s="1" t="s">
        <v>21</v>
      </c>
      <c r="N194" s="1" t="str">
        <f t="shared" si="28"/>
        <v>Male</v>
      </c>
      <c r="O194" s="1">
        <v>19</v>
      </c>
      <c r="P194" s="1">
        <v>17</v>
      </c>
      <c r="Q194" s="1">
        <v>46</v>
      </c>
      <c r="R194" s="2" cm="1">
        <f t="array" ref="R194">IF(AND(ISNUMBER(O194:Q194),SUM(O194:Q194)&lt;100),SUM(O194:Q194),"No Score")</f>
        <v>82</v>
      </c>
      <c r="S194" t="str" cm="1">
        <f t="array" ref="S194">_xlfn.IFS(AND(R194 &gt;=91,R194 &lt;=100),"A+",AND(R194 &gt;=71,R194 &lt;=90),"A",AND(R194 &gt;=61,R194 &lt;=70),"B",AND(R194 &gt;=51,R194 &lt;=60),"C",AND(R194 &gt;=40,R194 &lt;=50),"D",R194 &lt;40,"F",R194="No Score","No Grade",OR(R194&gt;100,R194&lt;0),"Invalid score")</f>
        <v>A</v>
      </c>
      <c r="T194" t="str" cm="1">
        <f t="array" ref="T194">_xlfn.IFS(S194="A+","Distinction",S194="A","Excellent", S194="B","Credit",S194="C","Very Good", S194="D","Good",S194="F","Poor",OR(S194="No Grade",S194="Invalid Score"),"No Remark")</f>
        <v>Excellent</v>
      </c>
    </row>
    <row r="195" spans="1:20" x14ac:dyDescent="0.2">
      <c r="A195" s="3" t="s">
        <v>597</v>
      </c>
      <c r="B195" s="7">
        <f t="shared" si="31"/>
        <v>45543.726446759261</v>
      </c>
      <c r="C195" s="10">
        <f t="shared" ref="C195:C258" si="34">VALUE(SUBSTITUTE(A195,"GMT+1",""))</f>
        <v>45543.726446759261</v>
      </c>
      <c r="D195" s="11">
        <f t="shared" ref="D195:D258" si="35">MOD(C195,1)</f>
        <v>0.72644675926130731</v>
      </c>
      <c r="E195" s="3" t="s">
        <v>445</v>
      </c>
      <c r="F195" s="3" t="s">
        <v>353</v>
      </c>
      <c r="G195" s="1" t="str">
        <f t="shared" ref="G195:G258" si="36">PROPER(TRIM(F195))</f>
        <v>Dorcas</v>
      </c>
      <c r="H195" s="3" t="s">
        <v>598</v>
      </c>
      <c r="I195" s="1" t="str">
        <f t="shared" ref="I195:I258" si="37">PROPER(TRIM(H195))</f>
        <v>Haggai</v>
      </c>
      <c r="J195" s="3" t="str">
        <f t="shared" si="32"/>
        <v>Dorcas Haggai</v>
      </c>
      <c r="K195" s="3" t="str">
        <f t="shared" si="33"/>
        <v>Duplicate</v>
      </c>
      <c r="L195" s="3" t="str">
        <f t="shared" si="30"/>
        <v>dorcashaggai@3mtt.com</v>
      </c>
      <c r="M195" s="1" t="s">
        <v>12</v>
      </c>
      <c r="N195" s="1" t="str">
        <f t="shared" ref="N195:N258" si="38">IF(M195="Make","Male",PROPER(M195))</f>
        <v>Female</v>
      </c>
      <c r="O195" s="3">
        <v>17</v>
      </c>
      <c r="P195" s="3">
        <v>19</v>
      </c>
      <c r="Q195" s="3">
        <v>50</v>
      </c>
      <c r="R195" s="2" cm="1">
        <f t="array" ref="R195">IF(AND(ISNUMBER(O195:Q195),SUM(O195:Q195)&lt;100),SUM(O195:Q195),"No Score")</f>
        <v>86</v>
      </c>
      <c r="S195" s="4" t="str" cm="1">
        <f t="array" ref="S195">_xlfn.IFS(AND(R195 &gt;=91,R195 &lt;=100),"A+",AND(R195 &gt;=71,R195 &lt;=90),"A",AND(R195 &gt;=61,R195 &lt;=70),"B",AND(R195 &gt;=51,R195 &lt;=60),"C",AND(R195 &gt;=40,R195 &lt;=50),"D",R195 &lt;40,"F",R195="No Score","No Grade",OR(R195&gt;100,R195&lt;0),"Invalid score")</f>
        <v>A</v>
      </c>
      <c r="T195" s="4" t="str" cm="1">
        <f t="array" ref="T195">_xlfn.IFS(S195="A+","Distinction",S195="A","Excellent", S195="B","Credit",S195="C","Very Good", S195="D","Good",S195="F","Poor",OR(S195="No Grade",S195="Invalid Score"),"No Remark")</f>
        <v>Excellent</v>
      </c>
    </row>
    <row r="196" spans="1:20" x14ac:dyDescent="0.2">
      <c r="A196" s="5" t="s">
        <v>599</v>
      </c>
      <c r="B196" s="7">
        <f t="shared" si="31"/>
        <v>45543.727094907408</v>
      </c>
      <c r="C196" s="10">
        <f t="shared" si="34"/>
        <v>45543.727094907408</v>
      </c>
      <c r="D196" s="11">
        <f t="shared" si="35"/>
        <v>0.72709490740817273</v>
      </c>
      <c r="E196" s="3" t="s">
        <v>445</v>
      </c>
      <c r="F196" s="3" t="s">
        <v>353</v>
      </c>
      <c r="G196" s="1" t="str">
        <f t="shared" si="36"/>
        <v>Dorcas</v>
      </c>
      <c r="H196" s="3" t="s">
        <v>598</v>
      </c>
      <c r="I196" s="1" t="str">
        <f t="shared" si="37"/>
        <v>Haggai</v>
      </c>
      <c r="J196" s="3" t="str">
        <f t="shared" si="32"/>
        <v>Dorcas Haggai</v>
      </c>
      <c r="K196" s="3" t="str">
        <f t="shared" si="33"/>
        <v>Duplicate</v>
      </c>
      <c r="L196" s="3" t="str">
        <f t="shared" si="30"/>
        <v>dorcashaggai@3mtt.com</v>
      </c>
      <c r="M196" s="1" t="s">
        <v>12</v>
      </c>
      <c r="N196" s="1" t="str">
        <f t="shared" si="38"/>
        <v>Female</v>
      </c>
      <c r="O196" s="3">
        <v>20</v>
      </c>
      <c r="P196" s="3">
        <v>20</v>
      </c>
      <c r="Q196" s="3">
        <v>59</v>
      </c>
      <c r="R196" s="2" cm="1">
        <f t="array" ref="R196">IF(AND(ISNUMBER(O196:Q196),SUM(O196:Q196)&lt;100),SUM(O196:Q196),"No Score")</f>
        <v>99</v>
      </c>
      <c r="S196" s="4" t="str" cm="1">
        <f t="array" ref="S196">_xlfn.IFS(AND(R196 &gt;=91,R196 &lt;=100),"A+",AND(R196 &gt;=71,R196 &lt;=90),"A",AND(R196 &gt;=61,R196 &lt;=70),"B",AND(R196 &gt;=51,R196 &lt;=60),"C",AND(R196 &gt;=40,R196 &lt;=50),"D",R196 &lt;40,"F",R196="No Score","No Grade",OR(R196&gt;100,R196&lt;0),"Invalid score")</f>
        <v>A+</v>
      </c>
      <c r="T196" s="4" t="str" cm="1">
        <f t="array" ref="T196">_xlfn.IFS(S196="A+","Distinction",S196="A","Excellent", S196="B","Credit",S196="C","Very Good", S196="D","Good",S196="F","Poor",OR(S196="No Grade",S196="Invalid Score"),"No Remark")</f>
        <v>Distinction</v>
      </c>
    </row>
    <row r="197" spans="1:20" x14ac:dyDescent="0.2">
      <c r="A197" s="1" t="s">
        <v>600</v>
      </c>
      <c r="B197" s="7">
        <f t="shared" si="31"/>
        <v>45543.72797453704</v>
      </c>
      <c r="C197" s="10">
        <f t="shared" si="34"/>
        <v>45543.72797453704</v>
      </c>
      <c r="D197" s="11">
        <f t="shared" si="35"/>
        <v>0.7279745370396995</v>
      </c>
      <c r="E197" s="3" t="s">
        <v>445</v>
      </c>
      <c r="F197" s="3" t="s">
        <v>446</v>
      </c>
      <c r="G197" s="3" t="str">
        <f t="shared" si="36"/>
        <v>Dorcas</v>
      </c>
      <c r="H197" s="3" t="s">
        <v>598</v>
      </c>
      <c r="I197" s="3" t="str">
        <f t="shared" si="37"/>
        <v>Haggai</v>
      </c>
      <c r="J197" s="3" t="str">
        <f t="shared" si="32"/>
        <v>Dorcas Haggai</v>
      </c>
      <c r="K197" s="3" t="str">
        <f t="shared" si="33"/>
        <v>Duplicate</v>
      </c>
      <c r="L197" s="3" t="str">
        <f t="shared" si="30"/>
        <v>dorcashaggai@3mtt.com</v>
      </c>
      <c r="M197" s="3" t="s">
        <v>12</v>
      </c>
      <c r="N197" s="1" t="str">
        <f t="shared" si="38"/>
        <v>Female</v>
      </c>
      <c r="O197" s="3">
        <v>16</v>
      </c>
      <c r="P197" s="3">
        <v>11</v>
      </c>
      <c r="Q197" s="3">
        <v>48</v>
      </c>
      <c r="R197" s="2" cm="1">
        <f t="array" ref="R197">IF(AND(ISNUMBER(O197:Q197),SUM(O197:Q197)&lt;100),SUM(O197:Q197),"No Score")</f>
        <v>75</v>
      </c>
      <c r="S197" s="4" t="str" cm="1">
        <f t="array" ref="S197">_xlfn.IFS(AND(R197 &gt;=91,R197 &lt;=100),"A+",AND(R197 &gt;=71,R197 &lt;=90),"A",AND(R197 &gt;=61,R197 &lt;=70),"B",AND(R197 &gt;=51,R197 &lt;=60),"C",AND(R197 &gt;=40,R197 &lt;=50),"D",R197 &lt;40,"F",R197="No Score","No Grade",OR(R197&gt;100,R197&lt;0),"Invalid score")</f>
        <v>A</v>
      </c>
      <c r="T197" s="4" t="str" cm="1">
        <f t="array" ref="T197">_xlfn.IFS(S197="A+","Distinction",S197="A","Excellent", S197="B","Credit",S197="C","Very Good", S197="D","Good",S197="F","Poor",OR(S197="No Grade",S197="Invalid Score"),"No Remark")</f>
        <v>Excellent</v>
      </c>
    </row>
    <row r="198" spans="1:20" x14ac:dyDescent="0.2">
      <c r="A198" s="3" t="s">
        <v>601</v>
      </c>
      <c r="B198" s="7">
        <f t="shared" si="31"/>
        <v>45543.72861111111</v>
      </c>
      <c r="C198" s="10">
        <f t="shared" si="34"/>
        <v>45543.72861111111</v>
      </c>
      <c r="D198" s="11">
        <f t="shared" si="35"/>
        <v>0.72861111110978527</v>
      </c>
      <c r="E198" s="3" t="s">
        <v>445</v>
      </c>
      <c r="F198" s="3" t="s">
        <v>446</v>
      </c>
      <c r="G198" s="1" t="str">
        <f t="shared" si="36"/>
        <v>Dorcas</v>
      </c>
      <c r="H198" s="3" t="s">
        <v>447</v>
      </c>
      <c r="I198" s="1" t="str">
        <f t="shared" si="37"/>
        <v>Haggai</v>
      </c>
      <c r="J198" s="3" t="str">
        <f t="shared" si="32"/>
        <v>Dorcas Haggai</v>
      </c>
      <c r="K198" s="3" t="str">
        <f t="shared" si="33"/>
        <v>Duplicate</v>
      </c>
      <c r="L198" s="3" t="str">
        <f t="shared" si="30"/>
        <v>dorcashaggai@3mtt.com</v>
      </c>
      <c r="M198" s="1" t="s">
        <v>17</v>
      </c>
      <c r="N198" s="1" t="str">
        <f t="shared" si="38"/>
        <v xml:space="preserve">Female </v>
      </c>
      <c r="O198" s="3">
        <v>18</v>
      </c>
      <c r="P198" s="3">
        <v>18</v>
      </c>
      <c r="Q198" s="3">
        <v>55</v>
      </c>
      <c r="R198" s="2" cm="1">
        <f t="array" ref="R198">IF(AND(ISNUMBER(O198:Q198),SUM(O198:Q198)&lt;100),SUM(O198:Q198),"No Score")</f>
        <v>91</v>
      </c>
      <c r="S198" s="4" t="str" cm="1">
        <f t="array" ref="S198">_xlfn.IFS(AND(R198 &gt;=91,R198 &lt;=100),"A+",AND(R198 &gt;=71,R198 &lt;=90),"A",AND(R198 &gt;=61,R198 &lt;=70),"B",AND(R198 &gt;=51,R198 &lt;=60),"C",AND(R198 &gt;=40,R198 &lt;=50),"D",R198 &lt;40,"F",R198="No Score","No Grade",OR(R198&gt;100,R198&lt;0),"Invalid score")</f>
        <v>A+</v>
      </c>
      <c r="T198" s="4" t="str" cm="1">
        <f t="array" ref="T198">_xlfn.IFS(S198="A+","Distinction",S198="A","Excellent", S198="B","Credit",S198="C","Very Good", S198="D","Good",S198="F","Poor",OR(S198="No Grade",S198="Invalid Score"),"No Remark")</f>
        <v>Distinction</v>
      </c>
    </row>
    <row r="199" spans="1:20" x14ac:dyDescent="0.2">
      <c r="A199" s="1" t="s">
        <v>602</v>
      </c>
      <c r="B199" s="7">
        <f t="shared" si="31"/>
        <v>45543.747615740744</v>
      </c>
      <c r="C199" s="8">
        <f t="shared" si="34"/>
        <v>45543.747615740744</v>
      </c>
      <c r="D199" s="9">
        <f t="shared" si="35"/>
        <v>0.74761574074364034</v>
      </c>
      <c r="E199" s="1" t="s">
        <v>445</v>
      </c>
      <c r="F199" s="1" t="s">
        <v>130</v>
      </c>
      <c r="G199" s="1" t="str">
        <f t="shared" si="36"/>
        <v>Gabriel</v>
      </c>
      <c r="H199" s="1" t="s">
        <v>159</v>
      </c>
      <c r="I199" s="1" t="str">
        <f t="shared" si="37"/>
        <v>James</v>
      </c>
      <c r="J199" s="1" t="str">
        <f t="shared" si="32"/>
        <v>Gabriel James</v>
      </c>
      <c r="K199" s="1" t="str">
        <f t="shared" si="33"/>
        <v>Unique</v>
      </c>
      <c r="L199" s="1" t="str">
        <f t="shared" ref="L199:L200" si="39">_xlfn.CONCAT(LOWER(G199),LOWER(I199),"@3mtt.com")</f>
        <v>gabrieljames@3mtt.com</v>
      </c>
      <c r="M199" s="1" t="s">
        <v>21</v>
      </c>
      <c r="N199" s="1" t="str">
        <f t="shared" si="38"/>
        <v>Male</v>
      </c>
      <c r="O199" s="1">
        <v>15</v>
      </c>
      <c r="P199" s="1">
        <v>10</v>
      </c>
      <c r="Q199" s="1">
        <v>40</v>
      </c>
      <c r="R199" s="2" cm="1">
        <f t="array" ref="R199">IF(AND(ISNUMBER(O199:Q199),SUM(O199:Q199)&lt;100),SUM(O199:Q199),"No Score")</f>
        <v>65</v>
      </c>
      <c r="S199" t="str" cm="1">
        <f t="array" ref="S199">_xlfn.IFS(AND(R199 &gt;=91,R199 &lt;=100),"A+",AND(R199 &gt;=71,R199 &lt;=90),"A",AND(R199 &gt;=61,R199 &lt;=70),"B",AND(R199 &gt;=51,R199 &lt;=60),"C",AND(R199 &gt;=40,R199 &lt;=50),"D",R199 &lt;40,"F",R199="No Score","No Grade",OR(R199&gt;100,R199&lt;0),"Invalid score")</f>
        <v>B</v>
      </c>
      <c r="T199" t="str" cm="1">
        <f t="array" ref="T199">_xlfn.IFS(S199="A+","Distinction",S199="A","Excellent", S199="B","Credit",S199="C","Very Good", S199="D","Good",S199="F","Poor",OR(S199="No Grade",S199="Invalid Score"),"No Remark")</f>
        <v>Credit</v>
      </c>
    </row>
    <row r="200" spans="1:20" x14ac:dyDescent="0.2">
      <c r="A200" s="1" t="s">
        <v>603</v>
      </c>
      <c r="B200" s="7">
        <f t="shared" si="31"/>
        <v>45543.748113425929</v>
      </c>
      <c r="C200" s="8">
        <f t="shared" si="34"/>
        <v>45543.748113425929</v>
      </c>
      <c r="D200" s="9">
        <f t="shared" si="35"/>
        <v>0.74811342592875008</v>
      </c>
      <c r="E200" s="1" t="s">
        <v>445</v>
      </c>
      <c r="F200" s="1" t="s">
        <v>604</v>
      </c>
      <c r="G200" s="1" t="str">
        <f t="shared" si="36"/>
        <v>Jennifer</v>
      </c>
      <c r="H200" s="1" t="s">
        <v>605</v>
      </c>
      <c r="I200" s="1" t="str">
        <f t="shared" si="37"/>
        <v>Sam</v>
      </c>
      <c r="J200" s="1" t="str">
        <f t="shared" si="32"/>
        <v>Jennifer Sam</v>
      </c>
      <c r="K200" s="1" t="str">
        <f t="shared" si="33"/>
        <v>Unique</v>
      </c>
      <c r="L200" s="1" t="str">
        <f t="shared" si="39"/>
        <v>jennifersam@3mtt.com</v>
      </c>
      <c r="M200" s="1" t="s">
        <v>12</v>
      </c>
      <c r="N200" s="1" t="str">
        <f t="shared" si="38"/>
        <v>Female</v>
      </c>
      <c r="O200" s="1">
        <v>17</v>
      </c>
      <c r="P200" s="1">
        <v>19</v>
      </c>
      <c r="Q200" s="1">
        <v>50</v>
      </c>
      <c r="R200" s="2" cm="1">
        <f t="array" ref="R200">IF(AND(ISNUMBER(O200:Q200),SUM(O200:Q200)&lt;100),SUM(O200:Q200),"No Score")</f>
        <v>86</v>
      </c>
      <c r="S200" t="str" cm="1">
        <f t="array" ref="S200">_xlfn.IFS(AND(R200 &gt;=91,R200 &lt;=100),"A+",AND(R200 &gt;=71,R200 &lt;=90),"A",AND(R200 &gt;=61,R200 &lt;=70),"B",AND(R200 &gt;=51,R200 &lt;=60),"C",AND(R200 &gt;=40,R200 &lt;=50),"D",R200 &lt;40,"F",R200="No Score","No Grade",OR(R200&gt;100,R200&lt;0),"Invalid score")</f>
        <v>A</v>
      </c>
      <c r="T200" t="str" cm="1">
        <f t="array" ref="T200">_xlfn.IFS(S200="A+","Distinction",S200="A","Excellent", S200="B","Credit",S200="C","Very Good", S200="D","Good",S200="F","Poor",OR(S200="No Grade",S200="Invalid Score"),"No Remark")</f>
        <v>Excellent</v>
      </c>
    </row>
    <row r="201" spans="1:20" x14ac:dyDescent="0.2">
      <c r="A201" s="1" t="s">
        <v>606</v>
      </c>
      <c r="B201" s="7">
        <f t="shared" si="31"/>
        <v>45543.74858796296</v>
      </c>
      <c r="C201" s="8">
        <f t="shared" si="34"/>
        <v>45543.74858796296</v>
      </c>
      <c r="D201" s="9">
        <f t="shared" si="35"/>
        <v>0.7485879629603005</v>
      </c>
      <c r="E201" s="1" t="s">
        <v>213</v>
      </c>
      <c r="F201" s="1" t="s">
        <v>214</v>
      </c>
      <c r="G201" s="1" t="str">
        <f t="shared" si="36"/>
        <v>Ali</v>
      </c>
      <c r="H201" s="1" t="s">
        <v>215</v>
      </c>
      <c r="I201" s="1" t="str">
        <f t="shared" si="37"/>
        <v>Tanko</v>
      </c>
      <c r="J201" s="1" t="str">
        <f t="shared" si="32"/>
        <v>Ali Tanko</v>
      </c>
      <c r="K201" s="1" t="str">
        <f t="shared" si="33"/>
        <v>Duplicate</v>
      </c>
      <c r="L201" s="1" t="str">
        <f>_xlfn.CONCAT(LOWER(G201),LOWER(I201),"@3mtt.com")</f>
        <v>alitanko@3mtt.com</v>
      </c>
      <c r="M201" s="1" t="s">
        <v>35</v>
      </c>
      <c r="N201" s="1" t="str">
        <f t="shared" si="38"/>
        <v>Male</v>
      </c>
      <c r="O201" s="1">
        <v>10</v>
      </c>
      <c r="P201" s="1">
        <v>12</v>
      </c>
      <c r="Q201" s="1">
        <v>45</v>
      </c>
      <c r="R201" s="2" cm="1">
        <f t="array" ref="R201">IF(AND(ISNUMBER(O201:Q201),SUM(O201:Q201)&lt;100),SUM(O201:Q201),"No Score")</f>
        <v>67</v>
      </c>
      <c r="S201" t="str" cm="1">
        <f t="array" ref="S201">_xlfn.IFS(AND(R201 &gt;=91,R201 &lt;=100),"A+",AND(R201 &gt;=71,R201 &lt;=90),"A",AND(R201 &gt;=61,R201 &lt;=70),"B",AND(R201 &gt;=51,R201 &lt;=60),"C",AND(R201 &gt;=40,R201 &lt;=50),"D",R201 &lt;40,"F",R201="No Score","No Grade",OR(R201&gt;100,R201&lt;0),"Invalid score")</f>
        <v>B</v>
      </c>
      <c r="T201" t="str" cm="1">
        <f t="array" ref="T201">_xlfn.IFS(S201="A+","Distinction",S201="A","Excellent", S201="B","Credit",S201="C","Very Good", S201="D","Good",S201="F","Poor",OR(S201="No Grade",S201="Invalid Score"),"No Remark")</f>
        <v>Credit</v>
      </c>
    </row>
    <row r="202" spans="1:20" x14ac:dyDescent="0.2">
      <c r="A202" s="1" t="s">
        <v>607</v>
      </c>
      <c r="B202" s="7">
        <f t="shared" si="31"/>
        <v>45543.748749999999</v>
      </c>
      <c r="C202" s="8">
        <f t="shared" si="34"/>
        <v>45543.748749999999</v>
      </c>
      <c r="D202" s="9">
        <f t="shared" si="35"/>
        <v>0.74874999999883585</v>
      </c>
      <c r="E202" s="1" t="s">
        <v>445</v>
      </c>
      <c r="F202" s="1" t="s">
        <v>608</v>
      </c>
      <c r="G202" s="1" t="str">
        <f t="shared" si="36"/>
        <v>Alfred</v>
      </c>
      <c r="H202" s="1" t="s">
        <v>154</v>
      </c>
      <c r="I202" s="1" t="str">
        <f t="shared" si="37"/>
        <v>John</v>
      </c>
      <c r="J202" s="1" t="str">
        <f t="shared" si="32"/>
        <v>Alfred John</v>
      </c>
      <c r="K202" s="1" t="str">
        <f t="shared" si="33"/>
        <v>Unique</v>
      </c>
      <c r="L202" s="1" t="str">
        <f t="shared" ref="L202:L258" si="40">_xlfn.CONCAT(LOWER(G202),LOWER(I202),"@3mtt.com")</f>
        <v>alfredjohn@3mtt.com</v>
      </c>
      <c r="M202" s="1" t="s">
        <v>21</v>
      </c>
      <c r="N202" s="1" t="str">
        <f t="shared" si="38"/>
        <v>Male</v>
      </c>
      <c r="O202" s="1">
        <v>20</v>
      </c>
      <c r="P202" s="1">
        <v>20</v>
      </c>
      <c r="Q202" s="1">
        <v>59</v>
      </c>
      <c r="R202" s="2" cm="1">
        <f t="array" ref="R202">IF(AND(ISNUMBER(O202:Q202),SUM(O202:Q202)&lt;100),SUM(O202:Q202),"No Score")</f>
        <v>99</v>
      </c>
      <c r="S202" t="str" cm="1">
        <f t="array" ref="S202">_xlfn.IFS(AND(R202 &gt;=91,R202 &lt;=100),"A+",AND(R202 &gt;=71,R202 &lt;=90),"A",AND(R202 &gt;=61,R202 &lt;=70),"B",AND(R202 &gt;=51,R202 &lt;=60),"C",AND(R202 &gt;=40,R202 &lt;=50),"D",R202 &lt;40,"F",R202="No Score","No Grade",OR(R202&gt;100,R202&lt;0),"Invalid score")</f>
        <v>A+</v>
      </c>
      <c r="T202" t="str" cm="1">
        <f t="array" ref="T202">_xlfn.IFS(S202="A+","Distinction",S202="A","Excellent", S202="B","Credit",S202="C","Very Good", S202="D","Good",S202="F","Poor",OR(S202="No Grade",S202="Invalid Score"),"No Remark")</f>
        <v>Distinction</v>
      </c>
    </row>
    <row r="203" spans="1:20" x14ac:dyDescent="0.2">
      <c r="A203" s="1" t="s">
        <v>609</v>
      </c>
      <c r="B203" s="7">
        <f t="shared" si="31"/>
        <v>45543.749293981484</v>
      </c>
      <c r="C203" s="8">
        <f t="shared" si="34"/>
        <v>45543.749293981484</v>
      </c>
      <c r="D203" s="9">
        <f t="shared" si="35"/>
        <v>0.74929398148378823</v>
      </c>
      <c r="E203" s="1" t="s">
        <v>445</v>
      </c>
      <c r="F203" s="1" t="s">
        <v>610</v>
      </c>
      <c r="G203" s="1" t="str">
        <f t="shared" si="36"/>
        <v>Rejoice</v>
      </c>
      <c r="H203" s="1" t="s">
        <v>611</v>
      </c>
      <c r="I203" s="1" t="str">
        <f t="shared" si="37"/>
        <v>Tanze</v>
      </c>
      <c r="J203" s="1" t="str">
        <f t="shared" si="32"/>
        <v>Rejoice Tanze</v>
      </c>
      <c r="K203" s="1" t="str">
        <f t="shared" si="33"/>
        <v>Unique</v>
      </c>
      <c r="L203" s="1" t="str">
        <f t="shared" si="40"/>
        <v>rejoicetanze@3mtt.com</v>
      </c>
      <c r="M203" s="1" t="s">
        <v>12</v>
      </c>
      <c r="N203" s="1" t="str">
        <f t="shared" si="38"/>
        <v>Female</v>
      </c>
      <c r="O203" s="1">
        <v>16</v>
      </c>
      <c r="P203" s="1">
        <v>11</v>
      </c>
      <c r="Q203" s="1">
        <v>48</v>
      </c>
      <c r="R203" s="2" cm="1">
        <f t="array" ref="R203">IF(AND(ISNUMBER(O203:Q203),SUM(O203:Q203)&lt;100),SUM(O203:Q203),"No Score")</f>
        <v>75</v>
      </c>
      <c r="S203" t="str" cm="1">
        <f t="array" ref="S203">_xlfn.IFS(AND(R203 &gt;=91,R203 &lt;=100),"A+",AND(R203 &gt;=71,R203 &lt;=90),"A",AND(R203 &gt;=61,R203 &lt;=70),"B",AND(R203 &gt;=51,R203 &lt;=60),"C",AND(R203 &gt;=40,R203 &lt;=50),"D",R203 &lt;40,"F",R203="No Score","No Grade",OR(R203&gt;100,R203&lt;0),"Invalid score")</f>
        <v>A</v>
      </c>
      <c r="T203" t="str" cm="1">
        <f t="array" ref="T203">_xlfn.IFS(S203="A+","Distinction",S203="A","Excellent", S203="B","Credit",S203="C","Very Good", S203="D","Good",S203="F","Poor",OR(S203="No Grade",S203="Invalid Score"),"No Remark")</f>
        <v>Excellent</v>
      </c>
    </row>
    <row r="204" spans="1:20" x14ac:dyDescent="0.2">
      <c r="A204" s="1" t="s">
        <v>612</v>
      </c>
      <c r="B204" s="7">
        <f t="shared" si="31"/>
        <v>45543.749803240738</v>
      </c>
      <c r="C204" s="8">
        <f t="shared" si="34"/>
        <v>45543.749803240738</v>
      </c>
      <c r="D204" s="9">
        <f t="shared" si="35"/>
        <v>0.74980324073840166</v>
      </c>
      <c r="E204" s="1" t="s">
        <v>445</v>
      </c>
      <c r="F204" s="1" t="s">
        <v>613</v>
      </c>
      <c r="G204" s="1" t="str">
        <f t="shared" si="36"/>
        <v>Doris</v>
      </c>
      <c r="H204" s="1" t="s">
        <v>614</v>
      </c>
      <c r="I204" s="1" t="str">
        <f t="shared" si="37"/>
        <v>Felix</v>
      </c>
      <c r="J204" s="1" t="str">
        <f t="shared" si="32"/>
        <v>Doris Felix</v>
      </c>
      <c r="K204" s="1" t="str">
        <f t="shared" si="33"/>
        <v>Unique</v>
      </c>
      <c r="L204" s="1" t="str">
        <f t="shared" si="40"/>
        <v>dorisfelix@3mtt.com</v>
      </c>
      <c r="M204" s="1" t="s">
        <v>17</v>
      </c>
      <c r="N204" s="1" t="str">
        <f t="shared" si="38"/>
        <v xml:space="preserve">Female </v>
      </c>
      <c r="O204" s="1">
        <v>18</v>
      </c>
      <c r="P204" s="1">
        <v>18</v>
      </c>
      <c r="Q204" s="1">
        <v>55</v>
      </c>
      <c r="R204" s="2" cm="1">
        <f t="array" ref="R204">IF(AND(ISNUMBER(O204:Q204),SUM(O204:Q204)&lt;100),SUM(O204:Q204),"No Score")</f>
        <v>91</v>
      </c>
      <c r="S204" t="str" cm="1">
        <f t="array" ref="S204">_xlfn.IFS(AND(R204 &gt;=91,R204 &lt;=100),"A+",AND(R204 &gt;=71,R204 &lt;=90),"A",AND(R204 &gt;=61,R204 &lt;=70),"B",AND(R204 &gt;=51,R204 &lt;=60),"C",AND(R204 &gt;=40,R204 &lt;=50),"D",R204 &lt;40,"F",R204="No Score","No Grade",OR(R204&gt;100,R204&lt;0),"Invalid score")</f>
        <v>A+</v>
      </c>
      <c r="T204" t="str" cm="1">
        <f t="array" ref="T204">_xlfn.IFS(S204="A+","Distinction",S204="A","Excellent", S204="B","Credit",S204="C","Very Good", S204="D","Good",S204="F","Poor",OR(S204="No Grade",S204="Invalid Score"),"No Remark")</f>
        <v>Distinction</v>
      </c>
    </row>
    <row r="205" spans="1:20" x14ac:dyDescent="0.2">
      <c r="A205" s="1" t="s">
        <v>615</v>
      </c>
      <c r="B205" s="7">
        <f t="shared" si="31"/>
        <v>45543.750439814816</v>
      </c>
      <c r="C205" s="8">
        <f t="shared" si="34"/>
        <v>45543.750439814816</v>
      </c>
      <c r="D205" s="9">
        <f t="shared" si="35"/>
        <v>0.75043981481576338</v>
      </c>
      <c r="E205" s="1" t="s">
        <v>213</v>
      </c>
      <c r="F205" s="1" t="s">
        <v>616</v>
      </c>
      <c r="G205" s="1" t="str">
        <f t="shared" si="36"/>
        <v>Ali</v>
      </c>
      <c r="H205" s="1" t="s">
        <v>215</v>
      </c>
      <c r="I205" s="1" t="str">
        <f t="shared" si="37"/>
        <v>Tanko</v>
      </c>
      <c r="J205" s="1" t="str">
        <f t="shared" si="32"/>
        <v>Ali Tanko</v>
      </c>
      <c r="K205" s="1" t="str">
        <f t="shared" si="33"/>
        <v>Duplicate</v>
      </c>
      <c r="L205" s="1" t="str">
        <f t="shared" si="40"/>
        <v>alitanko@3mtt.com</v>
      </c>
      <c r="M205" s="1" t="s">
        <v>35</v>
      </c>
      <c r="N205" s="1" t="str">
        <f t="shared" si="38"/>
        <v>Male</v>
      </c>
      <c r="O205" s="1">
        <v>10</v>
      </c>
      <c r="P205" s="1">
        <v>12</v>
      </c>
      <c r="Q205" s="1">
        <v>45</v>
      </c>
      <c r="R205" s="2" cm="1">
        <f t="array" ref="R205">IF(AND(ISNUMBER(O205:Q205),SUM(O205:Q205)&lt;100),SUM(O205:Q205),"No Score")</f>
        <v>67</v>
      </c>
      <c r="S205" t="str" cm="1">
        <f t="array" ref="S205">_xlfn.IFS(AND(R205 &gt;=91,R205 &lt;=100),"A+",AND(R205 &gt;=71,R205 &lt;=90),"A",AND(R205 &gt;=61,R205 &lt;=70),"B",AND(R205 &gt;=51,R205 &lt;=60),"C",AND(R205 &gt;=40,R205 &lt;=50),"D",R205 &lt;40,"F",R205="No Score","No Grade",OR(R205&gt;100,R205&lt;0),"Invalid score")</f>
        <v>B</v>
      </c>
      <c r="T205" t="str" cm="1">
        <f t="array" ref="T205">_xlfn.IFS(S205="A+","Distinction",S205="A","Excellent", S205="B","Credit",S205="C","Very Good", S205="D","Good",S205="F","Poor",OR(S205="No Grade",S205="Invalid Score"),"No Remark")</f>
        <v>Credit</v>
      </c>
    </row>
    <row r="206" spans="1:20" x14ac:dyDescent="0.2">
      <c r="A206" s="1" t="s">
        <v>617</v>
      </c>
      <c r="B206" s="7">
        <f t="shared" si="31"/>
        <v>45543.758090277777</v>
      </c>
      <c r="C206" s="8">
        <f t="shared" si="34"/>
        <v>45543.758090277777</v>
      </c>
      <c r="D206" s="9">
        <f t="shared" si="35"/>
        <v>0.75809027777722804</v>
      </c>
      <c r="E206" s="1" t="s">
        <v>618</v>
      </c>
      <c r="F206" s="1" t="s">
        <v>619</v>
      </c>
      <c r="G206" s="1" t="str">
        <f t="shared" si="36"/>
        <v>Kolawole</v>
      </c>
      <c r="H206" s="1" t="s">
        <v>620</v>
      </c>
      <c r="I206" s="1" t="str">
        <f t="shared" si="37"/>
        <v>Muniru</v>
      </c>
      <c r="J206" s="1" t="str">
        <f t="shared" si="32"/>
        <v>Kolawole Muniru</v>
      </c>
      <c r="K206" s="1" t="str">
        <f t="shared" si="33"/>
        <v>Unique</v>
      </c>
      <c r="L206" s="1" t="str">
        <f t="shared" si="40"/>
        <v>kolawolemuniru@3mtt.com</v>
      </c>
      <c r="M206" s="1" t="s">
        <v>21</v>
      </c>
      <c r="N206" s="1" t="str">
        <f t="shared" si="38"/>
        <v>Male</v>
      </c>
      <c r="O206" s="1">
        <v>19</v>
      </c>
      <c r="P206" s="1">
        <v>18</v>
      </c>
      <c r="Q206" s="1">
        <v>52</v>
      </c>
      <c r="R206" s="2" cm="1">
        <f t="array" ref="R206">IF(AND(ISNUMBER(O206:Q206),SUM(O206:Q206)&lt;100),SUM(O206:Q206),"No Score")</f>
        <v>89</v>
      </c>
      <c r="S206" t="str" cm="1">
        <f t="array" ref="S206">_xlfn.IFS(AND(R206 &gt;=91,R206 &lt;=100),"A+",AND(R206 &gt;=71,R206 &lt;=90),"A",AND(R206 &gt;=61,R206 &lt;=70),"B",AND(R206 &gt;=51,R206 &lt;=60),"C",AND(R206 &gt;=40,R206 &lt;=50),"D",R206 &lt;40,"F",R206="No Score","No Grade",OR(R206&gt;100,R206&lt;0),"Invalid score")</f>
        <v>A</v>
      </c>
      <c r="T206" t="str" cm="1">
        <f t="array" ref="T206">_xlfn.IFS(S206="A+","Distinction",S206="A","Excellent", S206="B","Credit",S206="C","Very Good", S206="D","Good",S206="F","Poor",OR(S206="No Grade",S206="Invalid Score"),"No Remark")</f>
        <v>Excellent</v>
      </c>
    </row>
    <row r="207" spans="1:20" x14ac:dyDescent="0.2">
      <c r="A207" s="1" t="s">
        <v>622</v>
      </c>
      <c r="B207" s="7">
        <f t="shared" si="31"/>
        <v>45543.759525462963</v>
      </c>
      <c r="C207" s="8">
        <f t="shared" si="34"/>
        <v>45543.759525462963</v>
      </c>
      <c r="D207" s="9">
        <f t="shared" si="35"/>
        <v>0.75952546296321088</v>
      </c>
      <c r="E207" s="1" t="s">
        <v>618</v>
      </c>
      <c r="F207" s="1" t="s">
        <v>623</v>
      </c>
      <c r="G207" s="1" t="str">
        <f t="shared" si="36"/>
        <v>Muhammad</v>
      </c>
      <c r="H207" s="1" t="s">
        <v>624</v>
      </c>
      <c r="I207" s="1" t="str">
        <f t="shared" si="37"/>
        <v>Aliyy</v>
      </c>
      <c r="J207" s="1" t="str">
        <f t="shared" si="32"/>
        <v>Muhammad Aliyy</v>
      </c>
      <c r="K207" s="1" t="str">
        <f t="shared" si="33"/>
        <v>Unique</v>
      </c>
      <c r="L207" s="1" t="str">
        <f t="shared" si="40"/>
        <v>muhammadaliyy@3mtt.com</v>
      </c>
      <c r="M207" s="1" t="s">
        <v>21</v>
      </c>
      <c r="N207" s="1" t="str">
        <f t="shared" si="38"/>
        <v>Male</v>
      </c>
      <c r="O207" s="1">
        <v>15</v>
      </c>
      <c r="P207" s="1">
        <v>13</v>
      </c>
      <c r="Q207" s="1">
        <v>45</v>
      </c>
      <c r="R207" s="2" cm="1">
        <f t="array" ref="R207">IF(AND(ISNUMBER(O207:Q207),SUM(O207:Q207)&lt;100),SUM(O207:Q207),"No Score")</f>
        <v>73</v>
      </c>
      <c r="S207" t="str" cm="1">
        <f t="array" ref="S207">_xlfn.IFS(AND(R207 &gt;=91,R207 &lt;=100),"A+",AND(R207 &gt;=71,R207 &lt;=90),"A",AND(R207 &gt;=61,R207 &lt;=70),"B",AND(R207 &gt;=51,R207 &lt;=60),"C",AND(R207 &gt;=40,R207 &lt;=50),"D",R207 &lt;40,"F",R207="No Score","No Grade",OR(R207&gt;100,R207&lt;0),"Invalid score")</f>
        <v>A</v>
      </c>
      <c r="T207" t="str" cm="1">
        <f t="array" ref="T207">_xlfn.IFS(S207="A+","Distinction",S207="A","Excellent", S207="B","Credit",S207="C","Very Good", S207="D","Good",S207="F","Poor",OR(S207="No Grade",S207="Invalid Score"),"No Remark")</f>
        <v>Excellent</v>
      </c>
    </row>
    <row r="208" spans="1:20" x14ac:dyDescent="0.2">
      <c r="A208" s="1" t="s">
        <v>625</v>
      </c>
      <c r="B208" s="7">
        <f t="shared" si="31"/>
        <v>45543.760185185187</v>
      </c>
      <c r="C208" s="8">
        <f t="shared" si="34"/>
        <v>45543.760185185187</v>
      </c>
      <c r="D208" s="9">
        <f t="shared" si="35"/>
        <v>0.76018518518685596</v>
      </c>
      <c r="E208" s="1" t="s">
        <v>618</v>
      </c>
      <c r="F208" s="1" t="s">
        <v>626</v>
      </c>
      <c r="G208" s="1" t="str">
        <f t="shared" si="36"/>
        <v>Faruq</v>
      </c>
      <c r="H208" s="1" t="s">
        <v>627</v>
      </c>
      <c r="I208" s="1" t="str">
        <f t="shared" si="37"/>
        <v>Talhah</v>
      </c>
      <c r="J208" s="1" t="str">
        <f t="shared" si="32"/>
        <v>Faruq Talhah</v>
      </c>
      <c r="K208" s="1" t="str">
        <f t="shared" si="33"/>
        <v>Unique</v>
      </c>
      <c r="L208" s="1" t="str">
        <f t="shared" si="40"/>
        <v>faruqtalhah@3mtt.com</v>
      </c>
      <c r="M208" s="1" t="s">
        <v>21</v>
      </c>
      <c r="N208" s="1" t="str">
        <f t="shared" si="38"/>
        <v>Male</v>
      </c>
      <c r="O208" s="1">
        <v>20</v>
      </c>
      <c r="P208" s="1">
        <v>20</v>
      </c>
      <c r="Q208" s="1">
        <v>57</v>
      </c>
      <c r="R208" s="2" cm="1">
        <f t="array" ref="R208">IF(AND(ISNUMBER(O208:Q208),SUM(O208:Q208)&lt;100),SUM(O208:Q208),"No Score")</f>
        <v>97</v>
      </c>
      <c r="S208" t="str" cm="1">
        <f t="array" ref="S208">_xlfn.IFS(AND(R208 &gt;=91,R208 &lt;=100),"A+",AND(R208 &gt;=71,R208 &lt;=90),"A",AND(R208 &gt;=61,R208 &lt;=70),"B",AND(R208 &gt;=51,R208 &lt;=60),"C",AND(R208 &gt;=40,R208 &lt;=50),"D",R208 &lt;40,"F",R208="No Score","No Grade",OR(R208&gt;100,R208&lt;0),"Invalid score")</f>
        <v>A+</v>
      </c>
      <c r="T208" t="str" cm="1">
        <f t="array" ref="T208">_xlfn.IFS(S208="A+","Distinction",S208="A","Excellent", S208="B","Credit",S208="C","Very Good", S208="D","Good",S208="F","Poor",OR(S208="No Grade",S208="Invalid Score"),"No Remark")</f>
        <v>Distinction</v>
      </c>
    </row>
    <row r="209" spans="1:20" x14ac:dyDescent="0.2">
      <c r="A209" s="1" t="s">
        <v>628</v>
      </c>
      <c r="B209" s="7">
        <f t="shared" si="31"/>
        <v>45543.760949074072</v>
      </c>
      <c r="C209" s="12">
        <f t="shared" si="34"/>
        <v>45543.760949074072</v>
      </c>
      <c r="D209" s="13">
        <f t="shared" si="35"/>
        <v>0.76094907407241408</v>
      </c>
      <c r="E209" s="14" t="s">
        <v>618</v>
      </c>
      <c r="F209" s="14" t="s">
        <v>629</v>
      </c>
      <c r="G209" s="14" t="str">
        <f t="shared" si="36"/>
        <v>Sadiyah</v>
      </c>
      <c r="H209" s="14"/>
      <c r="I209" s="14" t="str">
        <f t="shared" si="37"/>
        <v/>
      </c>
      <c r="J209" s="14" t="str">
        <f t="shared" si="32"/>
        <v xml:space="preserve">Sadiyah </v>
      </c>
      <c r="K209" s="14" t="str">
        <f t="shared" si="33"/>
        <v>Unique</v>
      </c>
      <c r="L209" s="14" t="str">
        <f t="shared" si="40"/>
        <v>sadiyah@3mtt.com</v>
      </c>
      <c r="M209" s="14" t="s">
        <v>12</v>
      </c>
      <c r="N209" s="1" t="str">
        <f t="shared" si="38"/>
        <v>Female</v>
      </c>
      <c r="O209" s="14">
        <v>17</v>
      </c>
      <c r="P209" s="14">
        <v>18</v>
      </c>
      <c r="Q209" s="14">
        <v>53</v>
      </c>
      <c r="R209" s="2" cm="1">
        <f t="array" ref="R209">IF(AND(ISNUMBER(O209:Q209),SUM(O209:Q209)&lt;100),SUM(O209:Q209),"No Score")</f>
        <v>88</v>
      </c>
      <c r="S209" s="15" t="str" cm="1">
        <f t="array" ref="S209">_xlfn.IFS(AND(R209 &gt;=91,R209 &lt;=100),"A+",AND(R209 &gt;=71,R209 &lt;=90),"A",AND(R209 &gt;=61,R209 &lt;=70),"B",AND(R209 &gt;=51,R209 &lt;=60),"C",AND(R209 &gt;=40,R209 &lt;=50),"D",R209 &lt;40,"F",R209="No Score","No Grade",OR(R209&gt;100,R209&lt;0),"Invalid score")</f>
        <v>A</v>
      </c>
      <c r="T209" s="15" t="str" cm="1">
        <f t="array" ref="T209">_xlfn.IFS(S209="A+","Distinction",S209="A","Excellent", S209="B","Credit",S209="C","Very Good", S209="D","Good",S209="F","Poor",OR(S209="No Grade",S209="Invalid Score"),"No Remark")</f>
        <v>Excellent</v>
      </c>
    </row>
    <row r="210" spans="1:20" x14ac:dyDescent="0.2">
      <c r="A210" s="1" t="s">
        <v>630</v>
      </c>
      <c r="B210" s="7">
        <f t="shared" si="31"/>
        <v>45543.761342592596</v>
      </c>
      <c r="C210" s="8">
        <f t="shared" si="34"/>
        <v>45543.761342592596</v>
      </c>
      <c r="D210" s="9">
        <f t="shared" si="35"/>
        <v>0.76134259259561077</v>
      </c>
      <c r="E210" s="1" t="s">
        <v>631</v>
      </c>
      <c r="F210" s="1" t="s">
        <v>632</v>
      </c>
      <c r="G210" s="1" t="str">
        <f t="shared" si="36"/>
        <v>Julian</v>
      </c>
      <c r="H210" s="1" t="s">
        <v>101</v>
      </c>
      <c r="I210" s="1" t="str">
        <f t="shared" si="37"/>
        <v>James</v>
      </c>
      <c r="J210" s="1" t="str">
        <f t="shared" si="32"/>
        <v>Julian James</v>
      </c>
      <c r="K210" s="1" t="str">
        <f t="shared" si="33"/>
        <v>Unique</v>
      </c>
      <c r="L210" s="1" t="str">
        <f t="shared" si="40"/>
        <v>julianjames@3mtt.com</v>
      </c>
      <c r="M210" s="1" t="s">
        <v>17</v>
      </c>
      <c r="N210" s="1" t="str">
        <f t="shared" si="38"/>
        <v xml:space="preserve">Female </v>
      </c>
      <c r="O210" s="1">
        <v>12</v>
      </c>
      <c r="P210" s="1">
        <v>14</v>
      </c>
      <c r="Q210" s="1">
        <v>35</v>
      </c>
      <c r="R210" s="2" cm="1">
        <f t="array" ref="R210">IF(AND(ISNUMBER(O210:Q210),SUM(O210:Q210)&lt;100),SUM(O210:Q210),"No Score")</f>
        <v>61</v>
      </c>
      <c r="S210" t="str" cm="1">
        <f t="array" ref="S210">_xlfn.IFS(AND(R210 &gt;=91,R210 &lt;=100),"A+",AND(R210 &gt;=71,R210 &lt;=90),"A",AND(R210 &gt;=61,R210 &lt;=70),"B",AND(R210 &gt;=51,R210 &lt;=60),"C",AND(R210 &gt;=40,R210 &lt;=50),"D",R210 &lt;40,"F",R210="No Score","No Grade",OR(R210&gt;100,R210&lt;0),"Invalid score")</f>
        <v>B</v>
      </c>
      <c r="T210" t="str" cm="1">
        <f t="array" ref="T210">_xlfn.IFS(S210="A+","Distinction",S210="A","Excellent", S210="B","Credit",S210="C","Very Good", S210="D","Good",S210="F","Poor",OR(S210="No Grade",S210="Invalid Score"),"No Remark")</f>
        <v>Credit</v>
      </c>
    </row>
    <row r="211" spans="1:20" x14ac:dyDescent="0.2">
      <c r="A211" s="1" t="s">
        <v>633</v>
      </c>
      <c r="B211" s="7">
        <f t="shared" si="31"/>
        <v>45543.76153935185</v>
      </c>
      <c r="C211" s="8">
        <f t="shared" si="34"/>
        <v>45543.76153935185</v>
      </c>
      <c r="D211" s="9">
        <f t="shared" si="35"/>
        <v>0.76153935184993315</v>
      </c>
      <c r="E211" s="1" t="s">
        <v>618</v>
      </c>
      <c r="F211" s="1" t="s">
        <v>634</v>
      </c>
      <c r="G211" s="1" t="str">
        <f t="shared" si="36"/>
        <v>Aishah</v>
      </c>
      <c r="H211" s="1" t="s">
        <v>635</v>
      </c>
      <c r="I211" s="1" t="str">
        <f t="shared" si="37"/>
        <v>Idris</v>
      </c>
      <c r="J211" s="1" t="str">
        <f t="shared" si="32"/>
        <v>Aishah Idris</v>
      </c>
      <c r="K211" s="1" t="str">
        <f t="shared" si="33"/>
        <v>Unique</v>
      </c>
      <c r="L211" s="1" t="str">
        <f t="shared" si="40"/>
        <v>aishahidris@3mtt.com</v>
      </c>
      <c r="M211" s="1" t="s">
        <v>12</v>
      </c>
      <c r="N211" s="1" t="str">
        <f t="shared" si="38"/>
        <v>Female</v>
      </c>
      <c r="O211" s="1">
        <v>15</v>
      </c>
      <c r="P211" s="1">
        <v>12</v>
      </c>
      <c r="Q211" s="1">
        <v>40</v>
      </c>
      <c r="R211" s="2" cm="1">
        <f t="array" ref="R211">IF(AND(ISNUMBER(O211:Q211),SUM(O211:Q211)&lt;100),SUM(O211:Q211),"No Score")</f>
        <v>67</v>
      </c>
      <c r="S211" t="str" cm="1">
        <f t="array" ref="S211">_xlfn.IFS(AND(R211 &gt;=91,R211 &lt;=100),"A+",AND(R211 &gt;=71,R211 &lt;=90),"A",AND(R211 &gt;=61,R211 &lt;=70),"B",AND(R211 &gt;=51,R211 &lt;=60),"C",AND(R211 &gt;=40,R211 &lt;=50),"D",R211 &lt;40,"F",R211="No Score","No Grade",OR(R211&gt;100,R211&lt;0),"Invalid score")</f>
        <v>B</v>
      </c>
      <c r="T211" t="str" cm="1">
        <f t="array" ref="T211">_xlfn.IFS(S211="A+","Distinction",S211="A","Excellent", S211="B","Credit",S211="C","Very Good", S211="D","Good",S211="F","Poor",OR(S211="No Grade",S211="Invalid Score"),"No Remark")</f>
        <v>Credit</v>
      </c>
    </row>
    <row r="212" spans="1:20" x14ac:dyDescent="0.2">
      <c r="A212" s="1" t="s">
        <v>636</v>
      </c>
      <c r="B212" s="7">
        <f t="shared" si="31"/>
        <v>45543.76226851852</v>
      </c>
      <c r="C212" s="8">
        <f t="shared" si="34"/>
        <v>45543.76226851852</v>
      </c>
      <c r="D212" s="9">
        <f t="shared" si="35"/>
        <v>0.76226851851970423</v>
      </c>
      <c r="E212" s="1" t="s">
        <v>631</v>
      </c>
      <c r="F212" s="1" t="s">
        <v>637</v>
      </c>
      <c r="G212" s="1" t="str">
        <f t="shared" si="36"/>
        <v>Jamilu</v>
      </c>
      <c r="H212" s="1" t="s">
        <v>505</v>
      </c>
      <c r="I212" s="1" t="str">
        <f t="shared" si="37"/>
        <v>Abubakar</v>
      </c>
      <c r="J212" s="1" t="str">
        <f t="shared" si="32"/>
        <v>Jamilu Abubakar</v>
      </c>
      <c r="K212" s="1" t="str">
        <f t="shared" si="33"/>
        <v>Unique</v>
      </c>
      <c r="L212" s="1" t="str">
        <f t="shared" si="40"/>
        <v>jamiluabubakar@3mtt.com</v>
      </c>
      <c r="M212" s="1" t="s">
        <v>21</v>
      </c>
      <c r="N212" s="1" t="str">
        <f t="shared" si="38"/>
        <v>Male</v>
      </c>
      <c r="O212" s="1">
        <v>14</v>
      </c>
      <c r="P212" s="1">
        <v>13</v>
      </c>
      <c r="Q212" s="1">
        <v>35</v>
      </c>
      <c r="R212" s="2" cm="1">
        <f t="array" ref="R212">IF(AND(ISNUMBER(O212:Q212),SUM(O212:Q212)&lt;100),SUM(O212:Q212),"No Score")</f>
        <v>62</v>
      </c>
      <c r="S212" t="str" cm="1">
        <f t="array" ref="S212">_xlfn.IFS(AND(R212 &gt;=91,R212 &lt;=100),"A+",AND(R212 &gt;=71,R212 &lt;=90),"A",AND(R212 &gt;=61,R212 &lt;=70),"B",AND(R212 &gt;=51,R212 &lt;=60),"C",AND(R212 &gt;=40,R212 &lt;=50),"D",R212 &lt;40,"F",R212="No Score","No Grade",OR(R212&gt;100,R212&lt;0),"Invalid score")</f>
        <v>B</v>
      </c>
      <c r="T212" t="str" cm="1">
        <f t="array" ref="T212">_xlfn.IFS(S212="A+","Distinction",S212="A","Excellent", S212="B","Credit",S212="C","Very Good", S212="D","Good",S212="F","Poor",OR(S212="No Grade",S212="Invalid Score"),"No Remark")</f>
        <v>Credit</v>
      </c>
    </row>
    <row r="213" spans="1:20" x14ac:dyDescent="0.2">
      <c r="A213" s="1" t="s">
        <v>638</v>
      </c>
      <c r="B213" s="7">
        <f t="shared" si="31"/>
        <v>45543.763171296298</v>
      </c>
      <c r="C213" s="8">
        <f t="shared" si="34"/>
        <v>45543.763171296298</v>
      </c>
      <c r="D213" s="9">
        <f t="shared" si="35"/>
        <v>0.76317129629751435</v>
      </c>
      <c r="E213" s="1" t="s">
        <v>631</v>
      </c>
      <c r="F213" s="1" t="s">
        <v>639</v>
      </c>
      <c r="G213" s="1" t="str">
        <f t="shared" si="36"/>
        <v>Salihu</v>
      </c>
      <c r="H213" s="1" t="s">
        <v>640</v>
      </c>
      <c r="I213" s="1" t="str">
        <f t="shared" si="37"/>
        <v>Jibrin</v>
      </c>
      <c r="J213" s="1" t="str">
        <f t="shared" si="32"/>
        <v>Salihu Jibrin</v>
      </c>
      <c r="K213" s="1" t="str">
        <f t="shared" si="33"/>
        <v>Unique</v>
      </c>
      <c r="L213" s="1" t="str">
        <f t="shared" si="40"/>
        <v>salihujibrin@3mtt.com</v>
      </c>
      <c r="M213" s="1" t="s">
        <v>21</v>
      </c>
      <c r="N213" s="1" t="str">
        <f t="shared" si="38"/>
        <v>Male</v>
      </c>
      <c r="O213" s="1">
        <v>11</v>
      </c>
      <c r="P213" s="1">
        <v>10</v>
      </c>
      <c r="Q213" s="1">
        <v>30</v>
      </c>
      <c r="R213" s="2" cm="1">
        <f t="array" ref="R213">IF(AND(ISNUMBER(O213:Q213),SUM(O213:Q213)&lt;100),SUM(O213:Q213),"No Score")</f>
        <v>51</v>
      </c>
      <c r="S213" t="str" cm="1">
        <f t="array" ref="S213">_xlfn.IFS(AND(R213 &gt;=91,R213 &lt;=100),"A+",AND(R213 &gt;=71,R213 &lt;=90),"A",AND(R213 &gt;=61,R213 &lt;=70),"B",AND(R213 &gt;=51,R213 &lt;=60),"C",AND(R213 &gt;=40,R213 &lt;=50),"D",R213 &lt;40,"F",R213="No Score","No Grade",OR(R213&gt;100,R213&lt;0),"Invalid score")</f>
        <v>C</v>
      </c>
      <c r="T213" t="str" cm="1">
        <f t="array" ref="T213">_xlfn.IFS(S213="A+","Distinction",S213="A","Excellent", S213="B","Credit",S213="C","Very Good", S213="D","Good",S213="F","Poor",OR(S213="No Grade",S213="Invalid Score"),"No Remark")</f>
        <v>Very Good</v>
      </c>
    </row>
    <row r="214" spans="1:20" x14ac:dyDescent="0.2">
      <c r="A214" s="1" t="s">
        <v>641</v>
      </c>
      <c r="B214" s="7">
        <f t="shared" si="31"/>
        <v>45543.76425925926</v>
      </c>
      <c r="C214" s="8">
        <f t="shared" si="34"/>
        <v>45543.76425925926</v>
      </c>
      <c r="D214" s="9">
        <f t="shared" si="35"/>
        <v>0.76425925926014315</v>
      </c>
      <c r="E214" s="1" t="s">
        <v>631</v>
      </c>
      <c r="F214" s="1" t="s">
        <v>560</v>
      </c>
      <c r="G214" s="1" t="str">
        <f t="shared" si="36"/>
        <v>Blessing</v>
      </c>
      <c r="H214" s="1" t="s">
        <v>104</v>
      </c>
      <c r="I214" s="1" t="str">
        <f t="shared" si="37"/>
        <v>Samuel</v>
      </c>
      <c r="J214" s="1" t="str">
        <f t="shared" si="32"/>
        <v>Blessing Samuel</v>
      </c>
      <c r="K214" s="1" t="str">
        <f t="shared" si="33"/>
        <v>Unique</v>
      </c>
      <c r="L214" s="1" t="str">
        <f t="shared" si="40"/>
        <v>blessingsamuel@3mtt.com</v>
      </c>
      <c r="M214" s="1" t="s">
        <v>17</v>
      </c>
      <c r="N214" s="1" t="str">
        <f t="shared" si="38"/>
        <v xml:space="preserve">Female </v>
      </c>
      <c r="O214" s="1">
        <v>17</v>
      </c>
      <c r="P214" s="1">
        <v>18</v>
      </c>
      <c r="Q214" s="1">
        <v>52</v>
      </c>
      <c r="R214" s="2" cm="1">
        <f t="array" ref="R214">IF(AND(ISNUMBER(O214:Q214),SUM(O214:Q214)&lt;100),SUM(O214:Q214),"No Score")</f>
        <v>87</v>
      </c>
      <c r="S214" t="str" cm="1">
        <f t="array" ref="S214">_xlfn.IFS(AND(R214 &gt;=91,R214 &lt;=100),"A+",AND(R214 &gt;=71,R214 &lt;=90),"A",AND(R214 &gt;=61,R214 &lt;=70),"B",AND(R214 &gt;=51,R214 &lt;=60),"C",AND(R214 &gt;=40,R214 &lt;=50),"D",R214 &lt;40,"F",R214="No Score","No Grade",OR(R214&gt;100,R214&lt;0),"Invalid score")</f>
        <v>A</v>
      </c>
      <c r="T214" t="str" cm="1">
        <f t="array" ref="T214">_xlfn.IFS(S214="A+","Distinction",S214="A","Excellent", S214="B","Credit",S214="C","Very Good", S214="D","Good",S214="F","Poor",OR(S214="No Grade",S214="Invalid Score"),"No Remark")</f>
        <v>Excellent</v>
      </c>
    </row>
    <row r="215" spans="1:20" x14ac:dyDescent="0.2">
      <c r="A215" s="1" t="s">
        <v>642</v>
      </c>
      <c r="B215" s="7">
        <f t="shared" si="31"/>
        <v>45543.765162037038</v>
      </c>
      <c r="C215" s="8">
        <f t="shared" si="34"/>
        <v>45543.765162037038</v>
      </c>
      <c r="D215" s="9">
        <f t="shared" si="35"/>
        <v>0.76516203703795327</v>
      </c>
      <c r="E215" s="1" t="s">
        <v>631</v>
      </c>
      <c r="F215" s="1" t="s">
        <v>643</v>
      </c>
      <c r="G215" s="1" t="str">
        <f t="shared" si="36"/>
        <v>Anna</v>
      </c>
      <c r="H215" s="1" t="s">
        <v>644</v>
      </c>
      <c r="I215" s="1" t="str">
        <f t="shared" si="37"/>
        <v>Alu</v>
      </c>
      <c r="J215" s="1" t="str">
        <f t="shared" si="32"/>
        <v>Anna Alu</v>
      </c>
      <c r="K215" s="1" t="str">
        <f t="shared" si="33"/>
        <v>Unique</v>
      </c>
      <c r="L215" s="1" t="str">
        <f t="shared" si="40"/>
        <v>annaalu@3mtt.com</v>
      </c>
      <c r="M215" s="1" t="s">
        <v>17</v>
      </c>
      <c r="N215" s="1" t="str">
        <f t="shared" si="38"/>
        <v xml:space="preserve">Female </v>
      </c>
      <c r="O215" s="1">
        <v>15</v>
      </c>
      <c r="P215" s="1">
        <v>17</v>
      </c>
      <c r="Q215" s="1">
        <v>50</v>
      </c>
      <c r="R215" s="2" cm="1">
        <f t="array" ref="R215">IF(AND(ISNUMBER(O215:Q215),SUM(O215:Q215)&lt;100),SUM(O215:Q215),"No Score")</f>
        <v>82</v>
      </c>
      <c r="S215" t="str" cm="1">
        <f t="array" ref="S215">_xlfn.IFS(AND(R215 &gt;=91,R215 &lt;=100),"A+",AND(R215 &gt;=71,R215 &lt;=90),"A",AND(R215 &gt;=61,R215 &lt;=70),"B",AND(R215 &gt;=51,R215 &lt;=60),"C",AND(R215 &gt;=40,R215 &lt;=50),"D",R215 &lt;40,"F",R215="No Score","No Grade",OR(R215&gt;100,R215&lt;0),"Invalid score")</f>
        <v>A</v>
      </c>
      <c r="T215" t="str" cm="1">
        <f t="array" ref="T215">_xlfn.IFS(S215="A+","Distinction",S215="A","Excellent", S215="B","Credit",S215="C","Very Good", S215="D","Good",S215="F","Poor",OR(S215="No Grade",S215="Invalid Score"),"No Remark")</f>
        <v>Excellent</v>
      </c>
    </row>
    <row r="216" spans="1:20" x14ac:dyDescent="0.2">
      <c r="A216" s="1" t="s">
        <v>645</v>
      </c>
      <c r="B216" s="7">
        <f t="shared" si="31"/>
        <v>45543.783530092594</v>
      </c>
      <c r="C216" s="8">
        <f t="shared" si="34"/>
        <v>45543.783530092594</v>
      </c>
      <c r="D216" s="9">
        <f t="shared" si="35"/>
        <v>0.78353009259444661</v>
      </c>
      <c r="E216" s="1" t="s">
        <v>518</v>
      </c>
      <c r="F216" s="1" t="s">
        <v>561</v>
      </c>
      <c r="G216" s="1" t="str">
        <f t="shared" si="36"/>
        <v>Joseph</v>
      </c>
      <c r="H216" s="1" t="s">
        <v>343</v>
      </c>
      <c r="I216" s="1" t="str">
        <f t="shared" si="37"/>
        <v>Peters</v>
      </c>
      <c r="J216" s="1" t="str">
        <f t="shared" si="32"/>
        <v>Joseph Peters</v>
      </c>
      <c r="K216" s="1" t="str">
        <f t="shared" si="33"/>
        <v>Unique</v>
      </c>
      <c r="L216" s="1" t="str">
        <f t="shared" si="40"/>
        <v>josephpeters@3mtt.com</v>
      </c>
      <c r="M216" s="1" t="s">
        <v>21</v>
      </c>
      <c r="N216" s="1" t="str">
        <f t="shared" si="38"/>
        <v>Male</v>
      </c>
      <c r="O216" s="1">
        <v>18</v>
      </c>
      <c r="P216" s="1">
        <v>20</v>
      </c>
      <c r="Q216" s="1">
        <v>50</v>
      </c>
      <c r="R216" s="2" cm="1">
        <f t="array" ref="R216">IF(AND(ISNUMBER(O216:Q216),SUM(O216:Q216)&lt;100),SUM(O216:Q216),"No Score")</f>
        <v>88</v>
      </c>
      <c r="S216" t="str" cm="1">
        <f t="array" ref="S216">_xlfn.IFS(AND(R216 &gt;=91,R216 &lt;=100),"A+",AND(R216 &gt;=71,R216 &lt;=90),"A",AND(R216 &gt;=61,R216 &lt;=70),"B",AND(R216 &gt;=51,R216 &lt;=60),"C",AND(R216 &gt;=40,R216 &lt;=50),"D",R216 &lt;40,"F",R216="No Score","No Grade",OR(R216&gt;100,R216&lt;0),"Invalid score")</f>
        <v>A</v>
      </c>
      <c r="T216" t="str" cm="1">
        <f t="array" ref="T216">_xlfn.IFS(S216="A+","Distinction",S216="A","Excellent", S216="B","Credit",S216="C","Very Good", S216="D","Good",S216="F","Poor",OR(S216="No Grade",S216="Invalid Score"),"No Remark")</f>
        <v>Excellent</v>
      </c>
    </row>
    <row r="217" spans="1:20" x14ac:dyDescent="0.2">
      <c r="A217" s="1" t="s">
        <v>646</v>
      </c>
      <c r="B217" s="7">
        <f t="shared" si="31"/>
        <v>45543.783912037034</v>
      </c>
      <c r="C217" s="8">
        <f t="shared" si="34"/>
        <v>45543.783912037034</v>
      </c>
      <c r="D217" s="9">
        <f t="shared" si="35"/>
        <v>0.78391203703358769</v>
      </c>
      <c r="E217" s="1" t="s">
        <v>518</v>
      </c>
      <c r="F217" s="1" t="s">
        <v>647</v>
      </c>
      <c r="G217" s="1" t="str">
        <f t="shared" si="36"/>
        <v>Ella</v>
      </c>
      <c r="H217" s="1" t="s">
        <v>56</v>
      </c>
      <c r="I217" s="1" t="str">
        <f t="shared" si="37"/>
        <v>Smith</v>
      </c>
      <c r="J217" s="1" t="str">
        <f t="shared" si="32"/>
        <v>Ella Smith</v>
      </c>
      <c r="K217" s="1" t="str">
        <f t="shared" si="33"/>
        <v>Unique</v>
      </c>
      <c r="L217" s="1" t="str">
        <f t="shared" si="40"/>
        <v>ellasmith@3mtt.com</v>
      </c>
      <c r="M217" s="1" t="s">
        <v>12</v>
      </c>
      <c r="N217" s="1" t="str">
        <f t="shared" si="38"/>
        <v>Female</v>
      </c>
      <c r="O217" s="1">
        <v>20</v>
      </c>
      <c r="P217" s="1">
        <v>18</v>
      </c>
      <c r="Q217" s="1">
        <v>56</v>
      </c>
      <c r="R217" s="2" cm="1">
        <f t="array" ref="R217">IF(AND(ISNUMBER(O217:Q217),SUM(O217:Q217)&lt;100),SUM(O217:Q217),"No Score")</f>
        <v>94</v>
      </c>
      <c r="S217" t="str" cm="1">
        <f t="array" ref="S217">_xlfn.IFS(AND(R217 &gt;=91,R217 &lt;=100),"A+",AND(R217 &gt;=71,R217 &lt;=90),"A",AND(R217 &gt;=61,R217 &lt;=70),"B",AND(R217 &gt;=51,R217 &lt;=60),"C",AND(R217 &gt;=40,R217 &lt;=50),"D",R217 &lt;40,"F",R217="No Score","No Grade",OR(R217&gt;100,R217&lt;0),"Invalid score")</f>
        <v>A+</v>
      </c>
      <c r="T217" t="str" cm="1">
        <f t="array" ref="T217">_xlfn.IFS(S217="A+","Distinction",S217="A","Excellent", S217="B","Credit",S217="C","Very Good", S217="D","Good",S217="F","Poor",OR(S217="No Grade",S217="Invalid Score"),"No Remark")</f>
        <v>Distinction</v>
      </c>
    </row>
    <row r="218" spans="1:20" x14ac:dyDescent="0.2">
      <c r="A218" s="1" t="s">
        <v>648</v>
      </c>
      <c r="B218" s="7">
        <f t="shared" si="31"/>
        <v>45543.78434027778</v>
      </c>
      <c r="C218" s="8">
        <f t="shared" si="34"/>
        <v>45543.78434027778</v>
      </c>
      <c r="D218" s="9">
        <f t="shared" si="35"/>
        <v>0.78434027777984738</v>
      </c>
      <c r="E218" s="1" t="s">
        <v>518</v>
      </c>
      <c r="F218" s="1" t="s">
        <v>649</v>
      </c>
      <c r="G218" s="1" t="str">
        <f t="shared" si="36"/>
        <v>Desire</v>
      </c>
      <c r="H218" s="1" t="s">
        <v>56</v>
      </c>
      <c r="I218" s="1" t="str">
        <f t="shared" si="37"/>
        <v>Smith</v>
      </c>
      <c r="J218" s="1" t="str">
        <f t="shared" si="32"/>
        <v>Desire Smith</v>
      </c>
      <c r="K218" s="1" t="str">
        <f t="shared" si="33"/>
        <v>Unique</v>
      </c>
      <c r="L218" s="1" t="str">
        <f t="shared" si="40"/>
        <v>desiresmith@3mtt.com</v>
      </c>
      <c r="M218" s="1" t="s">
        <v>21</v>
      </c>
      <c r="N218" s="1" t="str">
        <f t="shared" si="38"/>
        <v>Male</v>
      </c>
      <c r="O218" s="1">
        <v>12</v>
      </c>
      <c r="P218" s="1">
        <v>16</v>
      </c>
      <c r="Q218" s="1">
        <v>48</v>
      </c>
      <c r="R218" s="2" cm="1">
        <f t="array" ref="R218">IF(AND(ISNUMBER(O218:Q218),SUM(O218:Q218)&lt;100),SUM(O218:Q218),"No Score")</f>
        <v>76</v>
      </c>
      <c r="S218" t="str" cm="1">
        <f t="array" ref="S218">_xlfn.IFS(AND(R218 &gt;=91,R218 &lt;=100),"A+",AND(R218 &gt;=71,R218 &lt;=90),"A",AND(R218 &gt;=61,R218 &lt;=70),"B",AND(R218 &gt;=51,R218 &lt;=60),"C",AND(R218 &gt;=40,R218 &lt;=50),"D",R218 &lt;40,"F",R218="No Score","No Grade",OR(R218&gt;100,R218&lt;0),"Invalid score")</f>
        <v>A</v>
      </c>
      <c r="T218" t="str" cm="1">
        <f t="array" ref="T218">_xlfn.IFS(S218="A+","Distinction",S218="A","Excellent", S218="B","Credit",S218="C","Very Good", S218="D","Good",S218="F","Poor",OR(S218="No Grade",S218="Invalid Score"),"No Remark")</f>
        <v>Excellent</v>
      </c>
    </row>
    <row r="219" spans="1:20" x14ac:dyDescent="0.2">
      <c r="A219" s="1" t="s">
        <v>650</v>
      </c>
      <c r="B219" s="7">
        <f t="shared" si="31"/>
        <v>45543.78466435185</v>
      </c>
      <c r="C219" s="8">
        <f t="shared" si="34"/>
        <v>45543.78466435185</v>
      </c>
      <c r="D219" s="9">
        <f t="shared" si="35"/>
        <v>0.78466435184964212</v>
      </c>
      <c r="E219" s="1" t="s">
        <v>518</v>
      </c>
      <c r="F219" s="1" t="s">
        <v>651</v>
      </c>
      <c r="G219" s="1" t="str">
        <f t="shared" si="36"/>
        <v>Ugochukwu</v>
      </c>
      <c r="H219" s="1" t="s">
        <v>652</v>
      </c>
      <c r="I219" s="1" t="str">
        <f t="shared" si="37"/>
        <v>Raphael</v>
      </c>
      <c r="J219" s="1" t="str">
        <f t="shared" si="32"/>
        <v>Ugochukwu Raphael</v>
      </c>
      <c r="K219" s="1" t="str">
        <f t="shared" si="33"/>
        <v>Unique</v>
      </c>
      <c r="L219" s="1" t="str">
        <f t="shared" si="40"/>
        <v>ugochukwuraphael@3mtt.com</v>
      </c>
      <c r="M219" s="1" t="s">
        <v>21</v>
      </c>
      <c r="N219" s="1" t="str">
        <f t="shared" si="38"/>
        <v>Male</v>
      </c>
      <c r="O219" s="1">
        <v>18</v>
      </c>
      <c r="P219" s="1">
        <v>18</v>
      </c>
      <c r="Q219" s="1">
        <v>50</v>
      </c>
      <c r="R219" s="2" cm="1">
        <f t="array" ref="R219">IF(AND(ISNUMBER(O219:Q219),SUM(O219:Q219)&lt;100),SUM(O219:Q219),"No Score")</f>
        <v>86</v>
      </c>
      <c r="S219" t="str" cm="1">
        <f t="array" ref="S219">_xlfn.IFS(AND(R219 &gt;=91,R219 &lt;=100),"A+",AND(R219 &gt;=71,R219 &lt;=90),"A",AND(R219 &gt;=61,R219 &lt;=70),"B",AND(R219 &gt;=51,R219 &lt;=60),"C",AND(R219 &gt;=40,R219 &lt;=50),"D",R219 &lt;40,"F",R219="No Score","No Grade",OR(R219&gt;100,R219&lt;0),"Invalid score")</f>
        <v>A</v>
      </c>
      <c r="T219" t="str" cm="1">
        <f t="array" ref="T219">_xlfn.IFS(S219="A+","Distinction",S219="A","Excellent", S219="B","Credit",S219="C","Very Good", S219="D","Good",S219="F","Poor",OR(S219="No Grade",S219="Invalid Score"),"No Remark")</f>
        <v>Excellent</v>
      </c>
    </row>
    <row r="220" spans="1:20" x14ac:dyDescent="0.2">
      <c r="A220" s="1" t="s">
        <v>653</v>
      </c>
      <c r="B220" s="7">
        <f t="shared" si="31"/>
        <v>45543.785000000003</v>
      </c>
      <c r="C220" s="8">
        <f t="shared" si="34"/>
        <v>45543.785000000003</v>
      </c>
      <c r="D220" s="9">
        <f t="shared" si="35"/>
        <v>0.78500000000349246</v>
      </c>
      <c r="E220" s="1" t="s">
        <v>518</v>
      </c>
      <c r="F220" s="1" t="s">
        <v>654</v>
      </c>
      <c r="G220" s="1" t="str">
        <f t="shared" si="36"/>
        <v>Coper</v>
      </c>
      <c r="H220" s="1" t="s">
        <v>655</v>
      </c>
      <c r="I220" s="1" t="str">
        <f t="shared" si="37"/>
        <v>Harold</v>
      </c>
      <c r="J220" s="1" t="str">
        <f t="shared" si="32"/>
        <v>Coper Harold</v>
      </c>
      <c r="K220" s="1" t="str">
        <f t="shared" si="33"/>
        <v>Unique</v>
      </c>
      <c r="L220" s="1" t="str">
        <f t="shared" si="40"/>
        <v>coperharold@3mtt.com</v>
      </c>
      <c r="M220" s="1" t="s">
        <v>53</v>
      </c>
      <c r="N220" s="1" t="str">
        <f t="shared" si="38"/>
        <v xml:space="preserve">Male </v>
      </c>
      <c r="O220" s="1">
        <v>20</v>
      </c>
      <c r="P220" s="1">
        <v>20</v>
      </c>
      <c r="Q220" s="1">
        <v>58</v>
      </c>
      <c r="R220" s="2" cm="1">
        <f t="array" ref="R220">IF(AND(ISNUMBER(O220:Q220),SUM(O220:Q220)&lt;100),SUM(O220:Q220),"No Score")</f>
        <v>98</v>
      </c>
      <c r="S220" t="str" cm="1">
        <f t="array" ref="S220">_xlfn.IFS(AND(R220 &gt;=91,R220 &lt;=100),"A+",AND(R220 &gt;=71,R220 &lt;=90),"A",AND(R220 &gt;=61,R220 &lt;=70),"B",AND(R220 &gt;=51,R220 &lt;=60),"C",AND(R220 &gt;=40,R220 &lt;=50),"D",R220 &lt;40,"F",R220="No Score","No Grade",OR(R220&gt;100,R220&lt;0),"Invalid score")</f>
        <v>A+</v>
      </c>
      <c r="T220" t="str" cm="1">
        <f t="array" ref="T220">_xlfn.IFS(S220="A+","Distinction",S220="A","Excellent", S220="B","Credit",S220="C","Very Good", S220="D","Good",S220="F","Poor",OR(S220="No Grade",S220="Invalid Score"),"No Remark")</f>
        <v>Distinction</v>
      </c>
    </row>
    <row r="221" spans="1:20" x14ac:dyDescent="0.2">
      <c r="A221" s="1" t="s">
        <v>656</v>
      </c>
      <c r="B221" s="7">
        <f t="shared" si="31"/>
        <v>45543.795162037037</v>
      </c>
      <c r="C221" s="8">
        <f t="shared" si="34"/>
        <v>45543.795162037037</v>
      </c>
      <c r="D221" s="9">
        <f t="shared" si="35"/>
        <v>0.79516203703678912</v>
      </c>
      <c r="E221" s="1" t="s">
        <v>355</v>
      </c>
      <c r="F221" s="1" t="s">
        <v>346</v>
      </c>
      <c r="G221" s="1" t="str">
        <f t="shared" si="36"/>
        <v>Jonah</v>
      </c>
      <c r="H221" s="1" t="s">
        <v>657</v>
      </c>
      <c r="I221" s="1" t="str">
        <f t="shared" si="37"/>
        <v>Ikemeka</v>
      </c>
      <c r="J221" s="1" t="str">
        <f t="shared" si="32"/>
        <v>Jonah Ikemeka</v>
      </c>
      <c r="K221" s="1" t="str">
        <f t="shared" si="33"/>
        <v>Unique</v>
      </c>
      <c r="L221" s="1" t="str">
        <f t="shared" si="40"/>
        <v>jonahikemeka@3mtt.com</v>
      </c>
      <c r="M221" s="1" t="s">
        <v>21</v>
      </c>
      <c r="N221" s="1" t="str">
        <f t="shared" si="38"/>
        <v>Male</v>
      </c>
      <c r="O221" s="1">
        <v>16</v>
      </c>
      <c r="P221" s="1">
        <v>17</v>
      </c>
      <c r="Q221" s="1">
        <v>38</v>
      </c>
      <c r="R221" s="2" cm="1">
        <f t="array" ref="R221">IF(AND(ISNUMBER(O221:Q221),SUM(O221:Q221)&lt;100),SUM(O221:Q221),"No Score")</f>
        <v>71</v>
      </c>
      <c r="S221" t="str" cm="1">
        <f t="array" ref="S221">_xlfn.IFS(AND(R221 &gt;=91,R221 &lt;=100),"A+",AND(R221 &gt;=71,R221 &lt;=90),"A",AND(R221 &gt;=61,R221 &lt;=70),"B",AND(R221 &gt;=51,R221 &lt;=60),"C",AND(R221 &gt;=40,R221 &lt;=50),"D",R221 &lt;40,"F",R221="No Score","No Grade",OR(R221&gt;100,R221&lt;0),"Invalid score")</f>
        <v>A</v>
      </c>
      <c r="T221" t="str" cm="1">
        <f t="array" ref="T221">_xlfn.IFS(S221="A+","Distinction",S221="A","Excellent", S221="B","Credit",S221="C","Very Good", S221="D","Good",S221="F","Poor",OR(S221="No Grade",S221="Invalid Score"),"No Remark")</f>
        <v>Excellent</v>
      </c>
    </row>
    <row r="222" spans="1:20" x14ac:dyDescent="0.2">
      <c r="A222" s="1" t="s">
        <v>658</v>
      </c>
      <c r="B222" s="7">
        <f t="shared" si="31"/>
        <v>45543.796377314815</v>
      </c>
      <c r="C222" s="8">
        <f t="shared" si="34"/>
        <v>45543.796377314815</v>
      </c>
      <c r="D222" s="9">
        <f t="shared" si="35"/>
        <v>0.79637731481489027</v>
      </c>
      <c r="E222" s="1" t="s">
        <v>355</v>
      </c>
      <c r="F222" s="1" t="s">
        <v>659</v>
      </c>
      <c r="G222" s="1" t="str">
        <f t="shared" si="36"/>
        <v>Mallami</v>
      </c>
      <c r="H222" s="1" t="s">
        <v>660</v>
      </c>
      <c r="I222" s="1" t="str">
        <f t="shared" si="37"/>
        <v>Hassan</v>
      </c>
      <c r="J222" s="1" t="str">
        <f t="shared" si="32"/>
        <v>Mallami Hassan</v>
      </c>
      <c r="K222" s="1" t="str">
        <f t="shared" si="33"/>
        <v>Unique</v>
      </c>
      <c r="L222" s="1" t="str">
        <f t="shared" si="40"/>
        <v>mallamihassan@3mtt.com</v>
      </c>
      <c r="M222" s="1" t="s">
        <v>21</v>
      </c>
      <c r="N222" s="1" t="str">
        <f t="shared" si="38"/>
        <v>Male</v>
      </c>
      <c r="O222" s="1">
        <v>16</v>
      </c>
      <c r="P222" s="1">
        <v>11</v>
      </c>
      <c r="Q222" s="1">
        <v>57</v>
      </c>
      <c r="R222" s="2" cm="1">
        <f t="array" ref="R222">IF(AND(ISNUMBER(O222:Q222),SUM(O222:Q222)&lt;100),SUM(O222:Q222),"No Score")</f>
        <v>84</v>
      </c>
      <c r="S222" t="str" cm="1">
        <f t="array" ref="S222">_xlfn.IFS(AND(R222 &gt;=91,R222 &lt;=100),"A+",AND(R222 &gt;=71,R222 &lt;=90),"A",AND(R222 &gt;=61,R222 &lt;=70),"B",AND(R222 &gt;=51,R222 &lt;=60),"C",AND(R222 &gt;=40,R222 &lt;=50),"D",R222 &lt;40,"F",R222="No Score","No Grade",OR(R222&gt;100,R222&lt;0),"Invalid score")</f>
        <v>A</v>
      </c>
      <c r="T222" t="str" cm="1">
        <f t="array" ref="T222">_xlfn.IFS(S222="A+","Distinction",S222="A","Excellent", S222="B","Credit",S222="C","Very Good", S222="D","Good",S222="F","Poor",OR(S222="No Grade",S222="Invalid Score"),"No Remark")</f>
        <v>Excellent</v>
      </c>
    </row>
    <row r="223" spans="1:20" x14ac:dyDescent="0.2">
      <c r="A223" s="1" t="s">
        <v>661</v>
      </c>
      <c r="B223" s="7">
        <f t="shared" si="31"/>
        <v>45543.797048611108</v>
      </c>
      <c r="C223" s="8">
        <f t="shared" si="34"/>
        <v>45543.797048611108</v>
      </c>
      <c r="D223" s="9">
        <f t="shared" si="35"/>
        <v>0.79704861110803904</v>
      </c>
      <c r="E223" s="1" t="s">
        <v>355</v>
      </c>
      <c r="F223" s="1" t="s">
        <v>662</v>
      </c>
      <c r="G223" s="1" t="str">
        <f t="shared" si="36"/>
        <v>Demeji</v>
      </c>
      <c r="H223" s="1" t="s">
        <v>663</v>
      </c>
      <c r="I223" s="1" t="str">
        <f t="shared" si="37"/>
        <v>Bamidele</v>
      </c>
      <c r="J223" s="1" t="str">
        <f t="shared" si="32"/>
        <v>Demeji Bamidele</v>
      </c>
      <c r="K223" s="1" t="str">
        <f t="shared" si="33"/>
        <v>Unique</v>
      </c>
      <c r="L223" s="1" t="str">
        <f t="shared" si="40"/>
        <v>demejibamidele@3mtt.com</v>
      </c>
      <c r="M223" s="1" t="s">
        <v>12</v>
      </c>
      <c r="N223" s="1" t="str">
        <f t="shared" si="38"/>
        <v>Female</v>
      </c>
      <c r="O223" s="1">
        <v>19.5</v>
      </c>
      <c r="P223" s="1">
        <v>18.5</v>
      </c>
      <c r="Q223" s="1">
        <v>55.5</v>
      </c>
      <c r="R223" s="2" cm="1">
        <f t="array" ref="R223">IF(AND(ISNUMBER(O223:Q223),SUM(O223:Q223)&lt;100),SUM(O223:Q223),"No Score")</f>
        <v>93.5</v>
      </c>
      <c r="S223" t="str" cm="1">
        <f t="array" ref="S223">_xlfn.IFS(AND(R223 &gt;=91,R223 &lt;=100),"A+",AND(R223 &gt;=71,R223 &lt;=90),"A",AND(R223 &gt;=61,R223 &lt;=70),"B",AND(R223 &gt;=51,R223 &lt;=60),"C",AND(R223 &gt;=40,R223 &lt;=50),"D",R223 &lt;40,"F",R223="No Score","No Grade",OR(R223&gt;100,R223&lt;0),"Invalid score")</f>
        <v>A+</v>
      </c>
      <c r="T223" t="str" cm="1">
        <f t="array" ref="T223">_xlfn.IFS(S223="A+","Distinction",S223="A","Excellent", S223="B","Credit",S223="C","Very Good", S223="D","Good",S223="F","Poor",OR(S223="No Grade",S223="Invalid Score"),"No Remark")</f>
        <v>Distinction</v>
      </c>
    </row>
    <row r="224" spans="1:20" x14ac:dyDescent="0.2">
      <c r="A224" s="1" t="s">
        <v>671</v>
      </c>
      <c r="B224" s="7">
        <f t="shared" si="31"/>
        <v>45543.920694444445</v>
      </c>
      <c r="C224" s="8">
        <f t="shared" si="34"/>
        <v>45543.920694444445</v>
      </c>
      <c r="D224" s="9">
        <f t="shared" si="35"/>
        <v>0.92069444444496185</v>
      </c>
      <c r="E224" s="1" t="s">
        <v>405</v>
      </c>
      <c r="F224" s="1" t="s">
        <v>672</v>
      </c>
      <c r="G224" s="1" t="str">
        <f t="shared" si="36"/>
        <v>Blessing</v>
      </c>
      <c r="H224" s="1" t="s">
        <v>673</v>
      </c>
      <c r="I224" s="1" t="str">
        <f t="shared" si="37"/>
        <v>Nuhu</v>
      </c>
      <c r="J224" s="1" t="str">
        <f t="shared" si="32"/>
        <v>Blessing Nuhu</v>
      </c>
      <c r="K224" s="1" t="str">
        <f t="shared" si="33"/>
        <v>Unique</v>
      </c>
      <c r="L224" s="1" t="str">
        <f t="shared" si="40"/>
        <v>blessingnuhu@3mtt.com</v>
      </c>
      <c r="M224" s="1" t="s">
        <v>17</v>
      </c>
      <c r="N224" s="1" t="str">
        <f t="shared" si="38"/>
        <v xml:space="preserve">Female </v>
      </c>
      <c r="O224" s="1">
        <v>11</v>
      </c>
      <c r="P224" s="1">
        <v>13</v>
      </c>
      <c r="Q224" s="1">
        <v>33</v>
      </c>
      <c r="R224" s="2" cm="1">
        <f t="array" ref="R224">IF(AND(ISNUMBER(O224:Q224),SUM(O224:Q224)&lt;100),SUM(O224:Q224),"No Score")</f>
        <v>57</v>
      </c>
      <c r="S224" t="str" cm="1">
        <f t="array" ref="S224">_xlfn.IFS(AND(R224 &gt;=91,R224 &lt;=100),"A+",AND(R224 &gt;=71,R224 &lt;=90),"A",AND(R224 &gt;=61,R224 &lt;=70),"B",AND(R224 &gt;=51,R224 &lt;=60),"C",AND(R224 &gt;=40,R224 &lt;=50),"D",R224 &lt;40,"F",R224="No Score","No Grade",OR(R224&gt;100,R224&lt;0),"Invalid score")</f>
        <v>C</v>
      </c>
      <c r="T224" t="str" cm="1">
        <f t="array" ref="T224">_xlfn.IFS(S224="A+","Distinction",S224="A","Excellent", S224="B","Credit",S224="C","Very Good", S224="D","Good",S224="F","Poor",OR(S224="No Grade",S224="Invalid Score"),"No Remark")</f>
        <v>Very Good</v>
      </c>
    </row>
    <row r="225" spans="1:20" x14ac:dyDescent="0.2">
      <c r="A225" s="1" t="s">
        <v>674</v>
      </c>
      <c r="B225" s="7">
        <f t="shared" si="31"/>
        <v>45543.921400462961</v>
      </c>
      <c r="C225" s="8">
        <f t="shared" si="34"/>
        <v>45543.921400462961</v>
      </c>
      <c r="D225" s="9">
        <f t="shared" si="35"/>
        <v>0.92140046296117362</v>
      </c>
      <c r="E225" s="1" t="s">
        <v>405</v>
      </c>
      <c r="F225" s="1" t="s">
        <v>154</v>
      </c>
      <c r="G225" s="1" t="str">
        <f t="shared" si="36"/>
        <v>John</v>
      </c>
      <c r="H225" s="1" t="s">
        <v>675</v>
      </c>
      <c r="I225" s="1" t="str">
        <f t="shared" si="37"/>
        <v>Ibro</v>
      </c>
      <c r="J225" s="1" t="str">
        <f t="shared" si="32"/>
        <v>John Ibro</v>
      </c>
      <c r="K225" s="1" t="str">
        <f t="shared" si="33"/>
        <v>Unique</v>
      </c>
      <c r="L225" s="1" t="str">
        <f t="shared" si="40"/>
        <v>johnibro@3mtt.com</v>
      </c>
      <c r="M225" s="1" t="s">
        <v>21</v>
      </c>
      <c r="N225" s="1" t="str">
        <f t="shared" si="38"/>
        <v>Male</v>
      </c>
      <c r="O225" s="1">
        <v>18</v>
      </c>
      <c r="P225" s="1">
        <v>7</v>
      </c>
      <c r="Q225" s="1">
        <v>40</v>
      </c>
      <c r="R225" s="2" cm="1">
        <f t="array" ref="R225">IF(AND(ISNUMBER(O225:Q225),SUM(O225:Q225)&lt;100),SUM(O225:Q225),"No Score")</f>
        <v>65</v>
      </c>
      <c r="S225" t="str" cm="1">
        <f t="array" ref="S225">_xlfn.IFS(AND(R225 &gt;=91,R225 &lt;=100),"A+",AND(R225 &gt;=71,R225 &lt;=90),"A",AND(R225 &gt;=61,R225 &lt;=70),"B",AND(R225 &gt;=51,R225 &lt;=60),"C",AND(R225 &gt;=40,R225 &lt;=50),"D",R225 &lt;40,"F",R225="No Score","No Grade",OR(R225&gt;100,R225&lt;0),"Invalid score")</f>
        <v>B</v>
      </c>
      <c r="T225" t="str" cm="1">
        <f t="array" ref="T225">_xlfn.IFS(S225="A+","Distinction",S225="A","Excellent", S225="B","Credit",S225="C","Very Good", S225="D","Good",S225="F","Poor",OR(S225="No Grade",S225="Invalid Score"),"No Remark")</f>
        <v>Credit</v>
      </c>
    </row>
    <row r="226" spans="1:20" x14ac:dyDescent="0.2">
      <c r="A226" s="1" t="s">
        <v>676</v>
      </c>
      <c r="B226" s="7">
        <f t="shared" si="31"/>
        <v>45543.921909722223</v>
      </c>
      <c r="C226" s="8">
        <f t="shared" si="34"/>
        <v>45543.921909722223</v>
      </c>
      <c r="D226" s="9">
        <f t="shared" si="35"/>
        <v>0.921909722223063</v>
      </c>
      <c r="E226" s="1" t="s">
        <v>405</v>
      </c>
      <c r="F226" s="1" t="s">
        <v>677</v>
      </c>
      <c r="G226" s="1" t="str">
        <f t="shared" si="36"/>
        <v>Hamisu</v>
      </c>
      <c r="H226" s="1" t="s">
        <v>678</v>
      </c>
      <c r="I226" s="1" t="str">
        <f t="shared" si="37"/>
        <v>Murtala</v>
      </c>
      <c r="J226" s="1" t="str">
        <f t="shared" si="32"/>
        <v>Hamisu Murtala</v>
      </c>
      <c r="K226" s="1" t="str">
        <f t="shared" si="33"/>
        <v>Unique</v>
      </c>
      <c r="L226" s="1" t="str">
        <f t="shared" si="40"/>
        <v>hamisumurtala@3mtt.com</v>
      </c>
      <c r="M226" s="1" t="s">
        <v>21</v>
      </c>
      <c r="N226" s="1" t="str">
        <f t="shared" si="38"/>
        <v>Male</v>
      </c>
      <c r="O226" s="1">
        <v>15</v>
      </c>
      <c r="P226" s="1">
        <v>12</v>
      </c>
      <c r="Q226" s="1">
        <v>37</v>
      </c>
      <c r="R226" s="2" cm="1">
        <f t="array" ref="R226">IF(AND(ISNUMBER(O226:Q226),SUM(O226:Q226)&lt;100),SUM(O226:Q226),"No Score")</f>
        <v>64</v>
      </c>
      <c r="S226" t="str" cm="1">
        <f t="array" ref="S226">_xlfn.IFS(AND(R226 &gt;=91,R226 &lt;=100),"A+",AND(R226 &gt;=71,R226 &lt;=90),"A",AND(R226 &gt;=61,R226 &lt;=70),"B",AND(R226 &gt;=51,R226 &lt;=60),"C",AND(R226 &gt;=40,R226 &lt;=50),"D",R226 &lt;40,"F",R226="No Score","No Grade",OR(R226&gt;100,R226&lt;0),"Invalid score")</f>
        <v>B</v>
      </c>
      <c r="T226" t="str" cm="1">
        <f t="array" ref="T226">_xlfn.IFS(S226="A+","Distinction",S226="A","Excellent", S226="B","Credit",S226="C","Very Good", S226="D","Good",S226="F","Poor",OR(S226="No Grade",S226="Invalid Score"),"No Remark")</f>
        <v>Credit</v>
      </c>
    </row>
    <row r="227" spans="1:20" x14ac:dyDescent="0.2">
      <c r="A227" s="1" t="s">
        <v>679</v>
      </c>
      <c r="B227" s="7">
        <f t="shared" si="31"/>
        <v>45543.922523148147</v>
      </c>
      <c r="C227" s="8">
        <f t="shared" si="34"/>
        <v>45543.922523148147</v>
      </c>
      <c r="D227" s="9">
        <f t="shared" si="35"/>
        <v>0.92252314814686542</v>
      </c>
      <c r="E227" s="1" t="s">
        <v>405</v>
      </c>
      <c r="F227" s="1" t="s">
        <v>680</v>
      </c>
      <c r="G227" s="1" t="str">
        <f t="shared" si="36"/>
        <v>Peterson</v>
      </c>
      <c r="H227" s="1" t="s">
        <v>283</v>
      </c>
      <c r="I227" s="1" t="str">
        <f t="shared" si="37"/>
        <v>Emmanuel</v>
      </c>
      <c r="J227" s="1" t="str">
        <f t="shared" si="32"/>
        <v>Peterson Emmanuel</v>
      </c>
      <c r="K227" s="1" t="str">
        <f t="shared" si="33"/>
        <v>Unique</v>
      </c>
      <c r="L227" s="1" t="str">
        <f t="shared" si="40"/>
        <v>petersonemmanuel@3mtt.com</v>
      </c>
      <c r="M227" s="1" t="s">
        <v>21</v>
      </c>
      <c r="N227" s="1" t="str">
        <f t="shared" si="38"/>
        <v>Male</v>
      </c>
      <c r="O227" s="1">
        <v>9</v>
      </c>
      <c r="P227" s="1">
        <v>7</v>
      </c>
      <c r="Q227" s="1">
        <v>29</v>
      </c>
      <c r="R227" s="2" cm="1">
        <f t="array" ref="R227">IF(AND(ISNUMBER(O227:Q227),SUM(O227:Q227)&lt;100),SUM(O227:Q227),"No Score")</f>
        <v>45</v>
      </c>
      <c r="S227" t="str" cm="1">
        <f t="array" ref="S227">_xlfn.IFS(AND(R227 &gt;=91,R227 &lt;=100),"A+",AND(R227 &gt;=71,R227 &lt;=90),"A",AND(R227 &gt;=61,R227 &lt;=70),"B",AND(R227 &gt;=51,R227 &lt;=60),"C",AND(R227 &gt;=40,R227 &lt;=50),"D",R227 &lt;40,"F",R227="No Score","No Grade",OR(R227&gt;100,R227&lt;0),"Invalid score")</f>
        <v>D</v>
      </c>
      <c r="T227" t="str" cm="1">
        <f t="array" ref="T227">_xlfn.IFS(S227="A+","Distinction",S227="A","Excellent", S227="B","Credit",S227="C","Very Good", S227="D","Good",S227="F","Poor",OR(S227="No Grade",S227="Invalid Score"),"No Remark")</f>
        <v>Good</v>
      </c>
    </row>
    <row r="228" spans="1:20" x14ac:dyDescent="0.2">
      <c r="A228" s="1" t="s">
        <v>681</v>
      </c>
      <c r="B228" s="7">
        <f t="shared" si="31"/>
        <v>45543.966782407406</v>
      </c>
      <c r="C228" s="8">
        <f t="shared" si="34"/>
        <v>45543.966782407406</v>
      </c>
      <c r="D228" s="9">
        <f t="shared" si="35"/>
        <v>0.96678240740584442</v>
      </c>
      <c r="E228" s="1" t="s">
        <v>665</v>
      </c>
      <c r="F228" s="1" t="s">
        <v>666</v>
      </c>
      <c r="G228" s="1" t="str">
        <f t="shared" si="36"/>
        <v>Tijani Sunkanmi</v>
      </c>
      <c r="H228" s="1" t="s">
        <v>667</v>
      </c>
      <c r="I228" s="1" t="str">
        <f t="shared" si="37"/>
        <v>Kabiru</v>
      </c>
      <c r="J228" s="1" t="str">
        <f t="shared" si="32"/>
        <v>Tijani Sunkanmi Kabiru</v>
      </c>
      <c r="K228" s="1" t="str">
        <f t="shared" si="33"/>
        <v>Unique</v>
      </c>
      <c r="L228" s="1" t="str">
        <f t="shared" si="40"/>
        <v>tijani sunkanmikabiru@3mtt.com</v>
      </c>
      <c r="M228" s="1" t="s">
        <v>21</v>
      </c>
      <c r="N228" s="1" t="str">
        <f t="shared" si="38"/>
        <v>Male</v>
      </c>
      <c r="O228" s="1">
        <v>12</v>
      </c>
      <c r="P228" s="1">
        <v>18</v>
      </c>
      <c r="Q228" s="1">
        <v>52</v>
      </c>
      <c r="R228" s="2" cm="1">
        <f t="array" ref="R228">IF(AND(ISNUMBER(O228:Q228),SUM(O228:Q228)&lt;100),SUM(O228:Q228),"No Score")</f>
        <v>82</v>
      </c>
      <c r="S228" t="str" cm="1">
        <f t="array" ref="S228">_xlfn.IFS(AND(R228 &gt;=91,R228 &lt;=100),"A+",AND(R228 &gt;=71,R228 &lt;=90),"A",AND(R228 &gt;=61,R228 &lt;=70),"B",AND(R228 &gt;=51,R228 &lt;=60),"C",AND(R228 &gt;=40,R228 &lt;=50),"D",R228 &lt;40,"F",R228="No Score","No Grade",OR(R228&gt;100,R228&lt;0),"Invalid score")</f>
        <v>A</v>
      </c>
      <c r="T228" t="str" cm="1">
        <f t="array" ref="T228">_xlfn.IFS(S228="A+","Distinction",S228="A","Excellent", S228="B","Credit",S228="C","Very Good", S228="D","Good",S228="F","Poor",OR(S228="No Grade",S228="Invalid Score"),"No Remark")</f>
        <v>Excellent</v>
      </c>
    </row>
    <row r="229" spans="1:20" x14ac:dyDescent="0.2">
      <c r="A229" s="1" t="s">
        <v>682</v>
      </c>
      <c r="B229" s="7">
        <f t="shared" si="31"/>
        <v>45544.437951388885</v>
      </c>
      <c r="C229" s="20">
        <f t="shared" si="34"/>
        <v>45544.437951388885</v>
      </c>
      <c r="D229" s="21">
        <f t="shared" si="35"/>
        <v>0.43795138888526708</v>
      </c>
      <c r="E229" s="6" t="s">
        <v>683</v>
      </c>
      <c r="F229" s="6" t="s">
        <v>684</v>
      </c>
      <c r="G229" s="6" t="str">
        <f t="shared" si="36"/>
        <v>Onah</v>
      </c>
      <c r="H229" s="6" t="s">
        <v>685</v>
      </c>
      <c r="I229" s="6" t="str">
        <f t="shared" si="37"/>
        <v>Okereke Emmanuel</v>
      </c>
      <c r="J229" s="6" t="str">
        <f t="shared" si="32"/>
        <v>Onah Okereke Emmanuel</v>
      </c>
      <c r="K229" s="6" t="str">
        <f t="shared" si="33"/>
        <v>Unique</v>
      </c>
      <c r="L229" s="6" t="str">
        <f t="shared" si="40"/>
        <v>onahokereke emmanuel@3mtt.com</v>
      </c>
      <c r="M229" s="6" t="s">
        <v>53</v>
      </c>
      <c r="N229" s="1" t="str">
        <f t="shared" si="38"/>
        <v xml:space="preserve">Male </v>
      </c>
      <c r="O229" s="6" t="s">
        <v>686</v>
      </c>
      <c r="P229" s="6" t="s">
        <v>687</v>
      </c>
      <c r="Q229" s="6" t="s">
        <v>688</v>
      </c>
      <c r="R229" s="2" t="str" cm="1">
        <f t="array" ref="R229">IF(AND(ISNUMBER(O229:Q229),SUM(O229:Q229)&lt;100),SUM(O229:Q229),"No Score")</f>
        <v>No Score</v>
      </c>
      <c r="S229" s="22" t="str" cm="1">
        <f t="array" ref="S229">_xlfn.IFS(AND(R229 &gt;=91,R229 &lt;=100),"A+",AND(R229 &gt;=71,R229 &lt;=90),"A",AND(R229 &gt;=61,R229 &lt;=70),"B",AND(R229 &gt;=51,R229 &lt;=60),"C",AND(R229 &gt;=40,R229 &lt;=50),"D",R229 &lt;40,"F",R229="No Score","No Grade",OR(R229&gt;100,R229&lt;0),"Invalid score")</f>
        <v>No Grade</v>
      </c>
      <c r="T229" s="22" t="str" cm="1">
        <f t="array" ref="T229">_xlfn.IFS(S229="A+","Distinction",S229="A","Excellent", S229="B","Credit",S229="C","Very Good", S229="D","Good",S229="F","Poor",OR(S229="No Grade",S229="Invalid Score"),"No Remark")</f>
        <v>No Remark</v>
      </c>
    </row>
    <row r="230" spans="1:20" x14ac:dyDescent="0.2">
      <c r="A230" s="1" t="s">
        <v>689</v>
      </c>
      <c r="B230" s="7">
        <f t="shared" si="31"/>
        <v>45544.627604166664</v>
      </c>
      <c r="C230" s="8">
        <f t="shared" si="34"/>
        <v>45544.627604166664</v>
      </c>
      <c r="D230" s="9">
        <f t="shared" si="35"/>
        <v>0.62760416666424135</v>
      </c>
      <c r="E230" s="1" t="s">
        <v>690</v>
      </c>
      <c r="F230" s="1" t="s">
        <v>101</v>
      </c>
      <c r="G230" s="1" t="str">
        <f t="shared" si="36"/>
        <v>James</v>
      </c>
      <c r="H230" s="1" t="s">
        <v>691</v>
      </c>
      <c r="I230" s="1" t="str">
        <f t="shared" si="37"/>
        <v>Scott</v>
      </c>
      <c r="J230" s="1" t="str">
        <f t="shared" si="32"/>
        <v>James Scott</v>
      </c>
      <c r="K230" s="1" t="str">
        <f t="shared" si="33"/>
        <v>Unique</v>
      </c>
      <c r="L230" s="1" t="str">
        <f t="shared" si="40"/>
        <v>jamesscott@3mtt.com</v>
      </c>
      <c r="M230" s="1" t="s">
        <v>21</v>
      </c>
      <c r="N230" s="1" t="str">
        <f t="shared" si="38"/>
        <v>Male</v>
      </c>
      <c r="O230" s="1">
        <v>17</v>
      </c>
      <c r="P230" s="1">
        <v>19</v>
      </c>
      <c r="Q230" s="1">
        <v>48</v>
      </c>
      <c r="R230" s="2" cm="1">
        <f t="array" ref="R230">IF(AND(ISNUMBER(O230:Q230),SUM(O230:Q230)&lt;100),SUM(O230:Q230),"No Score")</f>
        <v>84</v>
      </c>
      <c r="S230" t="str" cm="1">
        <f t="array" ref="S230">_xlfn.IFS(AND(R230 &gt;=91,R230 &lt;=100),"A+",AND(R230 &gt;=71,R230 &lt;=90),"A",AND(R230 &gt;=61,R230 &lt;=70),"B",AND(R230 &gt;=51,R230 &lt;=60),"C",AND(R230 &gt;=40,R230 &lt;=50),"D",R230 &lt;40,"F",R230="No Score","No Grade",OR(R230&gt;100,R230&lt;0),"Invalid score")</f>
        <v>A</v>
      </c>
      <c r="T230" t="str" cm="1">
        <f t="array" ref="T230">_xlfn.IFS(S230="A+","Distinction",S230="A","Excellent", S230="B","Credit",S230="C","Very Good", S230="D","Good",S230="F","Poor",OR(S230="No Grade",S230="Invalid Score"),"No Remark")</f>
        <v>Excellent</v>
      </c>
    </row>
    <row r="231" spans="1:20" x14ac:dyDescent="0.2">
      <c r="A231" s="1" t="s">
        <v>692</v>
      </c>
      <c r="B231" s="7">
        <f t="shared" si="31"/>
        <v>45544.628784722219</v>
      </c>
      <c r="C231" s="8">
        <f t="shared" si="34"/>
        <v>45544.628784722219</v>
      </c>
      <c r="D231" s="9">
        <f t="shared" si="35"/>
        <v>0.6287847222192795</v>
      </c>
      <c r="E231" s="1" t="s">
        <v>690</v>
      </c>
      <c r="F231" s="1" t="s">
        <v>693</v>
      </c>
      <c r="G231" s="1" t="str">
        <f t="shared" si="36"/>
        <v>Wizzy</v>
      </c>
      <c r="H231" s="1" t="s">
        <v>694</v>
      </c>
      <c r="I231" s="1" t="str">
        <f t="shared" si="37"/>
        <v>Rick</v>
      </c>
      <c r="J231" s="1" t="str">
        <f t="shared" si="32"/>
        <v>Wizzy Rick</v>
      </c>
      <c r="K231" s="1" t="str">
        <f t="shared" si="33"/>
        <v>Unique</v>
      </c>
      <c r="L231" s="1" t="str">
        <f t="shared" si="40"/>
        <v>wizzyrick@3mtt.com</v>
      </c>
      <c r="M231" s="1" t="s">
        <v>21</v>
      </c>
      <c r="N231" s="1" t="str">
        <f t="shared" si="38"/>
        <v>Male</v>
      </c>
      <c r="O231" s="1">
        <v>18</v>
      </c>
      <c r="P231" s="1">
        <v>16</v>
      </c>
      <c r="Q231" s="1">
        <v>45</v>
      </c>
      <c r="R231" s="2" cm="1">
        <f t="array" ref="R231">IF(AND(ISNUMBER(O231:Q231),SUM(O231:Q231)&lt;100),SUM(O231:Q231),"No Score")</f>
        <v>79</v>
      </c>
      <c r="S231" t="str" cm="1">
        <f t="array" ref="S231">_xlfn.IFS(AND(R231 &gt;=91,R231 &lt;=100),"A+",AND(R231 &gt;=71,R231 &lt;=90),"A",AND(R231 &gt;=61,R231 &lt;=70),"B",AND(R231 &gt;=51,R231 &lt;=60),"C",AND(R231 &gt;=40,R231 &lt;=50),"D",R231 &lt;40,"F",R231="No Score","No Grade",OR(R231&gt;100,R231&lt;0),"Invalid score")</f>
        <v>A</v>
      </c>
      <c r="T231" t="str" cm="1">
        <f t="array" ref="T231">_xlfn.IFS(S231="A+","Distinction",S231="A","Excellent", S231="B","Credit",S231="C","Very Good", S231="D","Good",S231="F","Poor",OR(S231="No Grade",S231="Invalid Score"),"No Remark")</f>
        <v>Excellent</v>
      </c>
    </row>
    <row r="232" spans="1:20" x14ac:dyDescent="0.2">
      <c r="A232" s="1" t="s">
        <v>695</v>
      </c>
      <c r="B232" s="7">
        <f t="shared" si="31"/>
        <v>45544.629490740743</v>
      </c>
      <c r="C232" s="8">
        <f t="shared" si="34"/>
        <v>45544.629490740743</v>
      </c>
      <c r="D232" s="9">
        <f t="shared" si="35"/>
        <v>0.62949074074276723</v>
      </c>
      <c r="E232" s="1" t="s">
        <v>690</v>
      </c>
      <c r="F232" s="1" t="s">
        <v>696</v>
      </c>
      <c r="G232" s="1" t="str">
        <f t="shared" si="36"/>
        <v>Chioma</v>
      </c>
      <c r="H232" s="1" t="s">
        <v>697</v>
      </c>
      <c r="I232" s="1" t="str">
        <f t="shared" si="37"/>
        <v>Ajunwa</v>
      </c>
      <c r="J232" s="1" t="str">
        <f t="shared" si="32"/>
        <v>Chioma Ajunwa</v>
      </c>
      <c r="K232" s="1" t="str">
        <f t="shared" si="33"/>
        <v>Unique</v>
      </c>
      <c r="L232" s="1" t="str">
        <f t="shared" si="40"/>
        <v>chiomaajunwa@3mtt.com</v>
      </c>
      <c r="M232" s="1" t="s">
        <v>12</v>
      </c>
      <c r="N232" s="1" t="str">
        <f t="shared" si="38"/>
        <v>Female</v>
      </c>
      <c r="O232" s="1">
        <v>20</v>
      </c>
      <c r="P232" s="1">
        <v>18</v>
      </c>
      <c r="Q232" s="1">
        <v>53</v>
      </c>
      <c r="R232" s="2" cm="1">
        <f t="array" ref="R232">IF(AND(ISNUMBER(O232:Q232),SUM(O232:Q232)&lt;100),SUM(O232:Q232),"No Score")</f>
        <v>91</v>
      </c>
      <c r="S232" t="str" cm="1">
        <f t="array" ref="S232">_xlfn.IFS(AND(R232 &gt;=91,R232 &lt;=100),"A+",AND(R232 &gt;=71,R232 &lt;=90),"A",AND(R232 &gt;=61,R232 &lt;=70),"B",AND(R232 &gt;=51,R232 &lt;=60),"C",AND(R232 &gt;=40,R232 &lt;=50),"D",R232 &lt;40,"F",R232="No Score","No Grade",OR(R232&gt;100,R232&lt;0),"Invalid score")</f>
        <v>A+</v>
      </c>
      <c r="T232" t="str" cm="1">
        <f t="array" ref="T232">_xlfn.IFS(S232="A+","Distinction",S232="A","Excellent", S232="B","Credit",S232="C","Very Good", S232="D","Good",S232="F","Poor",OR(S232="No Grade",S232="Invalid Score"),"No Remark")</f>
        <v>Distinction</v>
      </c>
    </row>
    <row r="233" spans="1:20" x14ac:dyDescent="0.2">
      <c r="A233" s="1" t="s">
        <v>698</v>
      </c>
      <c r="B233" s="7">
        <f t="shared" si="31"/>
        <v>45544.630324074074</v>
      </c>
      <c r="C233" s="8">
        <f t="shared" si="34"/>
        <v>45544.630324074074</v>
      </c>
      <c r="D233" s="9">
        <f t="shared" si="35"/>
        <v>0.63032407407445135</v>
      </c>
      <c r="E233" s="1" t="s">
        <v>690</v>
      </c>
      <c r="F233" s="1" t="s">
        <v>699</v>
      </c>
      <c r="G233" s="1" t="str">
        <f t="shared" si="36"/>
        <v>Jeff</v>
      </c>
      <c r="H233" s="1" t="s">
        <v>700</v>
      </c>
      <c r="I233" s="1" t="str">
        <f t="shared" si="37"/>
        <v>Crux</v>
      </c>
      <c r="J233" s="1" t="str">
        <f t="shared" si="32"/>
        <v>Jeff Crux</v>
      </c>
      <c r="K233" s="1" t="str">
        <f t="shared" si="33"/>
        <v>Unique</v>
      </c>
      <c r="L233" s="1" t="str">
        <f t="shared" si="40"/>
        <v>jeffcrux@3mtt.com</v>
      </c>
      <c r="M233" s="1" t="s">
        <v>21</v>
      </c>
      <c r="N233" s="1" t="str">
        <f t="shared" si="38"/>
        <v>Male</v>
      </c>
      <c r="O233" s="1">
        <v>15</v>
      </c>
      <c r="P233" s="1">
        <v>14</v>
      </c>
      <c r="Q233" s="1">
        <v>57</v>
      </c>
      <c r="R233" s="2" cm="1">
        <f t="array" ref="R233">IF(AND(ISNUMBER(O233:Q233),SUM(O233:Q233)&lt;100),SUM(O233:Q233),"No Score")</f>
        <v>86</v>
      </c>
      <c r="S233" t="str" cm="1">
        <f t="array" ref="S233">_xlfn.IFS(AND(R233 &gt;=91,R233 &lt;=100),"A+",AND(R233 &gt;=71,R233 &lt;=90),"A",AND(R233 &gt;=61,R233 &lt;=70),"B",AND(R233 &gt;=51,R233 &lt;=60),"C",AND(R233 &gt;=40,R233 &lt;=50),"D",R233 &lt;40,"F",R233="No Score","No Grade",OR(R233&gt;100,R233&lt;0),"Invalid score")</f>
        <v>A</v>
      </c>
      <c r="T233" t="str" cm="1">
        <f t="array" ref="T233">_xlfn.IFS(S233="A+","Distinction",S233="A","Excellent", S233="B","Credit",S233="C","Very Good", S233="D","Good",S233="F","Poor",OR(S233="No Grade",S233="Invalid Score"),"No Remark")</f>
        <v>Excellent</v>
      </c>
    </row>
    <row r="234" spans="1:20" x14ac:dyDescent="0.2">
      <c r="A234" s="1" t="s">
        <v>701</v>
      </c>
      <c r="B234" s="7">
        <f t="shared" si="31"/>
        <v>45544.631168981483</v>
      </c>
      <c r="C234" s="8">
        <f t="shared" si="34"/>
        <v>45544.631168981483</v>
      </c>
      <c r="D234" s="9">
        <f t="shared" si="35"/>
        <v>0.63116898148291511</v>
      </c>
      <c r="E234" s="1" t="s">
        <v>690</v>
      </c>
      <c r="F234" s="1" t="s">
        <v>702</v>
      </c>
      <c r="G234" s="1" t="str">
        <f t="shared" si="36"/>
        <v>Leonel</v>
      </c>
      <c r="H234" s="1" t="s">
        <v>703</v>
      </c>
      <c r="I234" s="1" t="str">
        <f t="shared" si="37"/>
        <v>Stonez</v>
      </c>
      <c r="J234" s="1" t="str">
        <f t="shared" si="32"/>
        <v>Leonel Stonez</v>
      </c>
      <c r="K234" s="1" t="str">
        <f t="shared" si="33"/>
        <v>Unique</v>
      </c>
      <c r="L234" s="1" t="str">
        <f t="shared" si="40"/>
        <v>leonelstonez@3mtt.com</v>
      </c>
      <c r="M234" s="1" t="s">
        <v>12</v>
      </c>
      <c r="N234" s="1" t="str">
        <f t="shared" si="38"/>
        <v>Female</v>
      </c>
      <c r="O234" s="1">
        <v>19</v>
      </c>
      <c r="P234" s="1">
        <v>17</v>
      </c>
      <c r="Q234" s="1">
        <v>52</v>
      </c>
      <c r="R234" s="2" cm="1">
        <f t="array" ref="R234">IF(AND(ISNUMBER(O234:Q234),SUM(O234:Q234)&lt;100),SUM(O234:Q234),"No Score")</f>
        <v>88</v>
      </c>
      <c r="S234" t="str" cm="1">
        <f t="array" ref="S234">_xlfn.IFS(AND(R234 &gt;=91,R234 &lt;=100),"A+",AND(R234 &gt;=71,R234 &lt;=90),"A",AND(R234 &gt;=61,R234 &lt;=70),"B",AND(R234 &gt;=51,R234 &lt;=60),"C",AND(R234 &gt;=40,R234 &lt;=50),"D",R234 &lt;40,"F",R234="No Score","No Grade",OR(R234&gt;100,R234&lt;0),"Invalid score")</f>
        <v>A</v>
      </c>
      <c r="T234" t="str" cm="1">
        <f t="array" ref="T234">_xlfn.IFS(S234="A+","Distinction",S234="A","Excellent", S234="B","Credit",S234="C","Very Good", S234="D","Good",S234="F","Poor",OR(S234="No Grade",S234="Invalid Score"),"No Remark")</f>
        <v>Excellent</v>
      </c>
    </row>
    <row r="235" spans="1:20" x14ac:dyDescent="0.2">
      <c r="A235" s="1" t="s">
        <v>704</v>
      </c>
      <c r="B235" s="7">
        <f t="shared" si="31"/>
        <v>45545.561111111114</v>
      </c>
      <c r="C235" s="8">
        <f t="shared" si="34"/>
        <v>45545.561111111114</v>
      </c>
      <c r="D235" s="9">
        <f t="shared" si="35"/>
        <v>0.56111111111385981</v>
      </c>
      <c r="E235" s="1" t="s">
        <v>705</v>
      </c>
      <c r="F235" s="1" t="s">
        <v>10</v>
      </c>
      <c r="G235" s="1" t="str">
        <f t="shared" si="36"/>
        <v>Jane</v>
      </c>
      <c r="H235" s="1" t="s">
        <v>706</v>
      </c>
      <c r="I235" s="1" t="str">
        <f t="shared" si="37"/>
        <v>Samson</v>
      </c>
      <c r="J235" s="1" t="str">
        <f t="shared" si="32"/>
        <v>Jane Samson</v>
      </c>
      <c r="K235" s="1" t="str">
        <f t="shared" si="33"/>
        <v>Unique</v>
      </c>
      <c r="L235" s="1" t="str">
        <f t="shared" si="40"/>
        <v>janesamson@3mtt.com</v>
      </c>
      <c r="M235" s="1" t="s">
        <v>12</v>
      </c>
      <c r="N235" s="1" t="str">
        <f t="shared" si="38"/>
        <v>Female</v>
      </c>
      <c r="O235" s="1">
        <v>13</v>
      </c>
      <c r="P235" s="1">
        <v>20</v>
      </c>
      <c r="Q235" s="1">
        <v>35</v>
      </c>
      <c r="R235" s="2" cm="1">
        <f t="array" ref="R235">IF(AND(ISNUMBER(O235:Q235),SUM(O235:Q235)&lt;100),SUM(O235:Q235),"No Score")</f>
        <v>68</v>
      </c>
      <c r="S235" t="str" cm="1">
        <f t="array" ref="S235">_xlfn.IFS(AND(R235 &gt;=91,R235 &lt;=100),"A+",AND(R235 &gt;=71,R235 &lt;=90),"A",AND(R235 &gt;=61,R235 &lt;=70),"B",AND(R235 &gt;=51,R235 &lt;=60),"C",AND(R235 &gt;=40,R235 &lt;=50),"D",R235 &lt;40,"F",R235="No Score","No Grade",OR(R235&gt;100,R235&lt;0),"Invalid score")</f>
        <v>B</v>
      </c>
      <c r="T235" t="str" cm="1">
        <f t="array" ref="T235">_xlfn.IFS(S235="A+","Distinction",S235="A","Excellent", S235="B","Credit",S235="C","Very Good", S235="D","Good",S235="F","Poor",OR(S235="No Grade",S235="Invalid Score"),"No Remark")</f>
        <v>Credit</v>
      </c>
    </row>
    <row r="236" spans="1:20" x14ac:dyDescent="0.2">
      <c r="A236" s="1" t="s">
        <v>707</v>
      </c>
      <c r="B236" s="7">
        <f t="shared" si="31"/>
        <v>45545.561747685184</v>
      </c>
      <c r="C236" s="8">
        <f t="shared" si="34"/>
        <v>45545.561747685184</v>
      </c>
      <c r="D236" s="9">
        <f t="shared" si="35"/>
        <v>0.56174768518394558</v>
      </c>
      <c r="E236" s="1" t="s">
        <v>705</v>
      </c>
      <c r="F236" s="1" t="s">
        <v>708</v>
      </c>
      <c r="G236" s="1" t="str">
        <f t="shared" si="36"/>
        <v>Abimbola</v>
      </c>
      <c r="H236" s="1" t="s">
        <v>709</v>
      </c>
      <c r="I236" s="1" t="str">
        <f t="shared" si="37"/>
        <v>Ogunsola</v>
      </c>
      <c r="J236" s="1" t="str">
        <f t="shared" si="32"/>
        <v>Abimbola Ogunsola</v>
      </c>
      <c r="K236" s="1" t="str">
        <f t="shared" si="33"/>
        <v>Unique</v>
      </c>
      <c r="L236" s="1" t="str">
        <f t="shared" si="40"/>
        <v>abimbolaogunsola@3mtt.com</v>
      </c>
      <c r="M236" s="1" t="s">
        <v>567</v>
      </c>
      <c r="N236" s="1" t="str">
        <f t="shared" si="38"/>
        <v xml:space="preserve">Female </v>
      </c>
      <c r="O236" s="1">
        <v>19</v>
      </c>
      <c r="P236" s="1">
        <v>3</v>
      </c>
      <c r="Q236" s="1">
        <v>50</v>
      </c>
      <c r="R236" s="2" cm="1">
        <f t="array" ref="R236">IF(AND(ISNUMBER(O236:Q236),SUM(O236:Q236)&lt;100),SUM(O236:Q236),"No Score")</f>
        <v>72</v>
      </c>
      <c r="S236" t="str" cm="1">
        <f t="array" ref="S236">_xlfn.IFS(AND(R236 &gt;=91,R236 &lt;=100),"A+",AND(R236 &gt;=71,R236 &lt;=90),"A",AND(R236 &gt;=61,R236 &lt;=70),"B",AND(R236 &gt;=51,R236 &lt;=60),"C",AND(R236 &gt;=40,R236 &lt;=50),"D",R236 &lt;40,"F",R236="No Score","No Grade",OR(R236&gt;100,R236&lt;0),"Invalid score")</f>
        <v>A</v>
      </c>
      <c r="T236" t="str" cm="1">
        <f t="array" ref="T236">_xlfn.IFS(S236="A+","Distinction",S236="A","Excellent", S236="B","Credit",S236="C","Very Good", S236="D","Good",S236="F","Poor",OR(S236="No Grade",S236="Invalid Score"),"No Remark")</f>
        <v>Excellent</v>
      </c>
    </row>
    <row r="237" spans="1:20" x14ac:dyDescent="0.2">
      <c r="A237" s="1" t="s">
        <v>710</v>
      </c>
      <c r="B237" s="7">
        <f t="shared" si="31"/>
        <v>45545.562847222223</v>
      </c>
      <c r="C237" s="8">
        <f t="shared" si="34"/>
        <v>45545.562847222223</v>
      </c>
      <c r="D237" s="9">
        <f t="shared" si="35"/>
        <v>0.56284722222335404</v>
      </c>
      <c r="E237" s="1" t="s">
        <v>705</v>
      </c>
      <c r="F237" s="1" t="s">
        <v>711</v>
      </c>
      <c r="G237" s="1" t="str">
        <f t="shared" si="36"/>
        <v>Christian</v>
      </c>
      <c r="H237" s="1" t="s">
        <v>154</v>
      </c>
      <c r="I237" s="1" t="str">
        <f t="shared" si="37"/>
        <v>John</v>
      </c>
      <c r="J237" s="1" t="str">
        <f t="shared" si="32"/>
        <v>Christian John</v>
      </c>
      <c r="K237" s="1" t="str">
        <f t="shared" si="33"/>
        <v>Unique</v>
      </c>
      <c r="L237" s="1" t="str">
        <f t="shared" si="40"/>
        <v>christianjohn@3mtt.com</v>
      </c>
      <c r="M237" s="1" t="s">
        <v>21</v>
      </c>
      <c r="N237" s="1" t="str">
        <f t="shared" si="38"/>
        <v>Male</v>
      </c>
      <c r="O237" s="1">
        <v>20</v>
      </c>
      <c r="P237" s="1">
        <v>13</v>
      </c>
      <c r="Q237" s="1">
        <v>41</v>
      </c>
      <c r="R237" s="2" cm="1">
        <f t="array" ref="R237">IF(AND(ISNUMBER(O237:Q237),SUM(O237:Q237)&lt;100),SUM(O237:Q237),"No Score")</f>
        <v>74</v>
      </c>
      <c r="S237" t="str" cm="1">
        <f t="array" ref="S237">_xlfn.IFS(AND(R237 &gt;=91,R237 &lt;=100),"A+",AND(R237 &gt;=71,R237 &lt;=90),"A",AND(R237 &gt;=61,R237 &lt;=70),"B",AND(R237 &gt;=51,R237 &lt;=60),"C",AND(R237 &gt;=40,R237 &lt;=50),"D",R237 &lt;40,"F",R237="No Score","No Grade",OR(R237&gt;100,R237&lt;0),"Invalid score")</f>
        <v>A</v>
      </c>
      <c r="T237" t="str" cm="1">
        <f t="array" ref="T237">_xlfn.IFS(S237="A+","Distinction",S237="A","Excellent", S237="B","Credit",S237="C","Very Good", S237="D","Good",S237="F","Poor",OR(S237="No Grade",S237="Invalid Score"),"No Remark")</f>
        <v>Excellent</v>
      </c>
    </row>
    <row r="238" spans="1:20" x14ac:dyDescent="0.2">
      <c r="A238" s="1" t="s">
        <v>712</v>
      </c>
      <c r="B238" s="7">
        <f t="shared" si="31"/>
        <v>45545.563668981478</v>
      </c>
      <c r="C238" s="8">
        <f t="shared" si="34"/>
        <v>45545.563668981478</v>
      </c>
      <c r="D238" s="9">
        <f t="shared" si="35"/>
        <v>0.5636689814782585</v>
      </c>
      <c r="E238" s="1" t="s">
        <v>705</v>
      </c>
      <c r="F238" s="1" t="s">
        <v>713</v>
      </c>
      <c r="G238" s="1" t="str">
        <f t="shared" si="36"/>
        <v>Ezinne</v>
      </c>
      <c r="H238" s="1" t="s">
        <v>714</v>
      </c>
      <c r="I238" s="1" t="str">
        <f t="shared" si="37"/>
        <v>Olivia.</v>
      </c>
      <c r="J238" s="1" t="str">
        <f t="shared" si="32"/>
        <v>Ezinne Olivia.</v>
      </c>
      <c r="K238" s="1" t="str">
        <f t="shared" si="33"/>
        <v>Unique</v>
      </c>
      <c r="L238" s="1" t="str">
        <f t="shared" si="40"/>
        <v>ezinneolivia.@3mtt.com</v>
      </c>
      <c r="M238" s="1" t="s">
        <v>12</v>
      </c>
      <c r="N238" s="1" t="str">
        <f t="shared" si="38"/>
        <v>Female</v>
      </c>
      <c r="O238" s="1">
        <v>7</v>
      </c>
      <c r="P238" s="1">
        <v>10</v>
      </c>
      <c r="Q238" s="1">
        <v>48</v>
      </c>
      <c r="R238" s="2" cm="1">
        <f t="array" ref="R238">IF(AND(ISNUMBER(O238:Q238),SUM(O238:Q238)&lt;100),SUM(O238:Q238),"No Score")</f>
        <v>65</v>
      </c>
      <c r="S238" t="str" cm="1">
        <f t="array" ref="S238">_xlfn.IFS(AND(R238 &gt;=91,R238 &lt;=100),"A+",AND(R238 &gt;=71,R238 &lt;=90),"A",AND(R238 &gt;=61,R238 &lt;=70),"B",AND(R238 &gt;=51,R238 &lt;=60),"C",AND(R238 &gt;=40,R238 &lt;=50),"D",R238 &lt;40,"F",R238="No Score","No Grade",OR(R238&gt;100,R238&lt;0),"Invalid score")</f>
        <v>B</v>
      </c>
      <c r="T238" t="str" cm="1">
        <f t="array" ref="T238">_xlfn.IFS(S238="A+","Distinction",S238="A","Excellent", S238="B","Credit",S238="C","Very Good", S238="D","Good",S238="F","Poor",OR(S238="No Grade",S238="Invalid Score"),"No Remark")</f>
        <v>Credit</v>
      </c>
    </row>
    <row r="239" spans="1:20" x14ac:dyDescent="0.2">
      <c r="A239" s="1" t="s">
        <v>715</v>
      </c>
      <c r="B239" s="7">
        <f t="shared" si="31"/>
        <v>45545.564074074071</v>
      </c>
      <c r="C239" s="8">
        <f t="shared" si="34"/>
        <v>45545.564074074071</v>
      </c>
      <c r="D239" s="9">
        <f t="shared" si="35"/>
        <v>0.56407407407095889</v>
      </c>
      <c r="E239" s="1" t="s">
        <v>705</v>
      </c>
      <c r="F239" s="1" t="s">
        <v>716</v>
      </c>
      <c r="G239" s="1" t="str">
        <f t="shared" si="36"/>
        <v>Chiemere</v>
      </c>
      <c r="H239" s="1" t="s">
        <v>717</v>
      </c>
      <c r="I239" s="1" t="str">
        <f t="shared" si="37"/>
        <v>Ezeja</v>
      </c>
      <c r="J239" s="1" t="str">
        <f t="shared" si="32"/>
        <v>Chiemere Ezeja</v>
      </c>
      <c r="K239" s="1" t="str">
        <f t="shared" si="33"/>
        <v>Unique</v>
      </c>
      <c r="L239" s="1" t="str">
        <f t="shared" si="40"/>
        <v>chiemereezeja@3mtt.com</v>
      </c>
      <c r="M239" s="1" t="s">
        <v>53</v>
      </c>
      <c r="N239" s="1" t="str">
        <f t="shared" si="38"/>
        <v xml:space="preserve">Male </v>
      </c>
      <c r="O239" s="1">
        <v>2</v>
      </c>
      <c r="P239" s="1">
        <v>18</v>
      </c>
      <c r="Q239" s="1">
        <v>53</v>
      </c>
      <c r="R239" s="2" cm="1">
        <f t="array" ref="R239">IF(AND(ISNUMBER(O239:Q239),SUM(O239:Q239)&lt;100),SUM(O239:Q239),"No Score")</f>
        <v>73</v>
      </c>
      <c r="S239" t="str" cm="1">
        <f t="array" ref="S239">_xlfn.IFS(AND(R239 &gt;=91,R239 &lt;=100),"A+",AND(R239 &gt;=71,R239 &lt;=90),"A",AND(R239 &gt;=61,R239 &lt;=70),"B",AND(R239 &gt;=51,R239 &lt;=60),"C",AND(R239 &gt;=40,R239 &lt;=50),"D",R239 &lt;40,"F",R239="No Score","No Grade",OR(R239&gt;100,R239&lt;0),"Invalid score")</f>
        <v>A</v>
      </c>
      <c r="T239" t="str" cm="1">
        <f t="array" ref="T239">_xlfn.IFS(S239="A+","Distinction",S239="A","Excellent", S239="B","Credit",S239="C","Very Good", S239="D","Good",S239="F","Poor",OR(S239="No Grade",S239="Invalid Score"),"No Remark")</f>
        <v>Excellent</v>
      </c>
    </row>
    <row r="240" spans="1:20" x14ac:dyDescent="0.2">
      <c r="A240" s="1" t="s">
        <v>718</v>
      </c>
      <c r="B240" s="7">
        <f t="shared" si="31"/>
        <v>45545.862025462964</v>
      </c>
      <c r="C240" s="8">
        <f t="shared" si="34"/>
        <v>45545.862025462964</v>
      </c>
      <c r="D240" s="9">
        <f t="shared" si="35"/>
        <v>0.862025462964084</v>
      </c>
      <c r="E240" s="1" t="s">
        <v>719</v>
      </c>
      <c r="F240" s="1" t="s">
        <v>720</v>
      </c>
      <c r="G240" s="1" t="str">
        <f t="shared" si="36"/>
        <v>Ismail</v>
      </c>
      <c r="H240" s="1" t="s">
        <v>721</v>
      </c>
      <c r="I240" s="1" t="str">
        <f t="shared" si="37"/>
        <v>Kakira</v>
      </c>
      <c r="J240" s="1" t="str">
        <f t="shared" si="32"/>
        <v>Ismail Kakira</v>
      </c>
      <c r="K240" s="1" t="str">
        <f t="shared" si="33"/>
        <v>Duplicate</v>
      </c>
      <c r="L240" s="1" t="str">
        <f t="shared" si="40"/>
        <v>ismailkakira@3mtt.com</v>
      </c>
      <c r="M240" s="1" t="s">
        <v>21</v>
      </c>
      <c r="N240" s="1" t="str">
        <f t="shared" si="38"/>
        <v>Male</v>
      </c>
      <c r="O240" s="1">
        <v>15</v>
      </c>
      <c r="P240" s="1">
        <v>18</v>
      </c>
      <c r="Q240" s="1">
        <v>17</v>
      </c>
      <c r="R240" s="2" cm="1">
        <f t="array" ref="R240">IF(AND(ISNUMBER(O240:Q240),SUM(O240:Q240)&lt;100),SUM(O240:Q240),"No Score")</f>
        <v>50</v>
      </c>
      <c r="S240" t="str" cm="1">
        <f t="array" ref="S240">_xlfn.IFS(AND(R240 &gt;=91,R240 &lt;=100),"A+",AND(R240 &gt;=71,R240 &lt;=90),"A",AND(R240 &gt;=61,R240 &lt;=70),"B",AND(R240 &gt;=51,R240 &lt;=60),"C",AND(R240 &gt;=40,R240 &lt;=50),"D",R240 &lt;40,"F",R240="No Score","No Grade",OR(R240&gt;100,R240&lt;0),"Invalid score")</f>
        <v>D</v>
      </c>
      <c r="T240" t="str" cm="1">
        <f t="array" ref="T240">_xlfn.IFS(S240="A+","Distinction",S240="A","Excellent", S240="B","Credit",S240="C","Very Good", S240="D","Good",S240="F","Poor",OR(S240="No Grade",S240="Invalid Score"),"No Remark")</f>
        <v>Good</v>
      </c>
    </row>
    <row r="241" spans="1:20" x14ac:dyDescent="0.2">
      <c r="A241" s="1" t="s">
        <v>722</v>
      </c>
      <c r="B241" s="7">
        <f t="shared" si="31"/>
        <v>45545.863981481481</v>
      </c>
      <c r="C241" s="8">
        <f t="shared" si="34"/>
        <v>45545.863981481481</v>
      </c>
      <c r="D241" s="9">
        <f t="shared" si="35"/>
        <v>0.86398148148145992</v>
      </c>
      <c r="E241" s="1" t="s">
        <v>719</v>
      </c>
      <c r="F241" s="1" t="s">
        <v>723</v>
      </c>
      <c r="G241" s="1" t="str">
        <f t="shared" si="36"/>
        <v>Ismail</v>
      </c>
      <c r="H241" s="1" t="s">
        <v>721</v>
      </c>
      <c r="I241" s="1" t="str">
        <f t="shared" si="37"/>
        <v>Kakira</v>
      </c>
      <c r="J241" s="1" t="str">
        <f t="shared" si="32"/>
        <v>Ismail Kakira</v>
      </c>
      <c r="K241" s="1" t="str">
        <f t="shared" si="33"/>
        <v>Duplicate</v>
      </c>
      <c r="L241" s="1" t="str">
        <f t="shared" si="40"/>
        <v>ismailkakira@3mtt.com</v>
      </c>
      <c r="M241" s="1" t="s">
        <v>21</v>
      </c>
      <c r="N241" s="1" t="str">
        <f t="shared" si="38"/>
        <v>Male</v>
      </c>
      <c r="O241" s="1">
        <v>13</v>
      </c>
      <c r="P241" s="1">
        <v>16</v>
      </c>
      <c r="Q241" s="1">
        <v>45</v>
      </c>
      <c r="R241" s="2" cm="1">
        <f t="array" ref="R241">IF(AND(ISNUMBER(O241:Q241),SUM(O241:Q241)&lt;100),SUM(O241:Q241),"No Score")</f>
        <v>74</v>
      </c>
      <c r="S241" t="str" cm="1">
        <f t="array" ref="S241">_xlfn.IFS(AND(R241 &gt;=91,R241 &lt;=100),"A+",AND(R241 &gt;=71,R241 &lt;=90),"A",AND(R241 &gt;=61,R241 &lt;=70),"B",AND(R241 &gt;=51,R241 &lt;=60),"C",AND(R241 &gt;=40,R241 &lt;=50),"D",R241 &lt;40,"F",R241="No Score","No Grade",OR(R241&gt;100,R241&lt;0),"Invalid score")</f>
        <v>A</v>
      </c>
      <c r="T241" t="str" cm="1">
        <f t="array" ref="T241">_xlfn.IFS(S241="A+","Distinction",S241="A","Excellent", S241="B","Credit",S241="C","Very Good", S241="D","Good",S241="F","Poor",OR(S241="No Grade",S241="Invalid Score"),"No Remark")</f>
        <v>Excellent</v>
      </c>
    </row>
    <row r="242" spans="1:20" x14ac:dyDescent="0.2">
      <c r="A242" s="1" t="s">
        <v>724</v>
      </c>
      <c r="B242" s="7">
        <f t="shared" si="31"/>
        <v>45545.866377314815</v>
      </c>
      <c r="C242" s="8">
        <f t="shared" si="34"/>
        <v>45545.866377314815</v>
      </c>
      <c r="D242" s="9">
        <f t="shared" si="35"/>
        <v>0.86637731481459923</v>
      </c>
      <c r="E242" s="1" t="s">
        <v>719</v>
      </c>
      <c r="F242" s="1" t="s">
        <v>725</v>
      </c>
      <c r="G242" s="1" t="str">
        <f t="shared" si="36"/>
        <v>Osmail</v>
      </c>
      <c r="H242" s="1" t="s">
        <v>721</v>
      </c>
      <c r="I242" s="1" t="str">
        <f t="shared" si="37"/>
        <v>Kakira</v>
      </c>
      <c r="J242" s="1" t="str">
        <f t="shared" si="32"/>
        <v>Osmail Kakira</v>
      </c>
      <c r="K242" s="1" t="str">
        <f t="shared" si="33"/>
        <v>Unique</v>
      </c>
      <c r="L242" s="1" t="str">
        <f t="shared" si="40"/>
        <v>osmailkakira@3mtt.com</v>
      </c>
      <c r="M242" s="1" t="s">
        <v>21</v>
      </c>
      <c r="N242" s="1" t="str">
        <f t="shared" si="38"/>
        <v>Male</v>
      </c>
      <c r="O242" s="1">
        <v>10</v>
      </c>
      <c r="P242" s="1">
        <v>14</v>
      </c>
      <c r="Q242" s="1">
        <v>38</v>
      </c>
      <c r="R242" s="2" cm="1">
        <f t="array" ref="R242">IF(AND(ISNUMBER(O242:Q242),SUM(O242:Q242)&lt;100),SUM(O242:Q242),"No Score")</f>
        <v>62</v>
      </c>
      <c r="S242" t="str" cm="1">
        <f t="array" ref="S242">_xlfn.IFS(AND(R242 &gt;=91,R242 &lt;=100),"A+",AND(R242 &gt;=71,R242 &lt;=90),"A",AND(R242 &gt;=61,R242 &lt;=70),"B",AND(R242 &gt;=51,R242 &lt;=60),"C",AND(R242 &gt;=40,R242 &lt;=50),"D",R242 &lt;40,"F",R242="No Score","No Grade",OR(R242&gt;100,R242&lt;0),"Invalid score")</f>
        <v>B</v>
      </c>
      <c r="T242" t="str" cm="1">
        <f t="array" ref="T242">_xlfn.IFS(S242="A+","Distinction",S242="A","Excellent", S242="B","Credit",S242="C","Very Good", S242="D","Good",S242="F","Poor",OR(S242="No Grade",S242="Invalid Score"),"No Remark")</f>
        <v>Credit</v>
      </c>
    </row>
    <row r="243" spans="1:20" x14ac:dyDescent="0.2">
      <c r="A243" s="1" t="s">
        <v>726</v>
      </c>
      <c r="B243" s="7">
        <f t="shared" si="31"/>
        <v>45545.866875</v>
      </c>
      <c r="C243" s="8">
        <f t="shared" si="34"/>
        <v>45545.866875</v>
      </c>
      <c r="D243" s="9">
        <f t="shared" si="35"/>
        <v>0.86687499999970896</v>
      </c>
      <c r="E243" s="1" t="s">
        <v>719</v>
      </c>
      <c r="F243" s="1" t="s">
        <v>727</v>
      </c>
      <c r="G243" s="1" t="str">
        <f t="shared" si="36"/>
        <v>Andrey</v>
      </c>
      <c r="H243" s="1" t="s">
        <v>154</v>
      </c>
      <c r="I243" s="1" t="str">
        <f t="shared" si="37"/>
        <v>John</v>
      </c>
      <c r="J243" s="1" t="str">
        <f t="shared" si="32"/>
        <v>Andrey John</v>
      </c>
      <c r="K243" s="1" t="str">
        <f t="shared" si="33"/>
        <v>Unique</v>
      </c>
      <c r="L243" s="1" t="str">
        <f t="shared" si="40"/>
        <v>andreyjohn@3mtt.com</v>
      </c>
      <c r="M243" s="1" t="s">
        <v>21</v>
      </c>
      <c r="N243" s="1" t="str">
        <f t="shared" si="38"/>
        <v>Male</v>
      </c>
      <c r="O243" s="1">
        <v>18</v>
      </c>
      <c r="P243" s="1">
        <v>17</v>
      </c>
      <c r="Q243" s="1">
        <v>48</v>
      </c>
      <c r="R243" s="2" cm="1">
        <f t="array" ref="R243">IF(AND(ISNUMBER(O243:Q243),SUM(O243:Q243)&lt;100),SUM(O243:Q243),"No Score")</f>
        <v>83</v>
      </c>
      <c r="S243" t="str" cm="1">
        <f t="array" ref="S243">_xlfn.IFS(AND(R243 &gt;=91,R243 &lt;=100),"A+",AND(R243 &gt;=71,R243 &lt;=90),"A",AND(R243 &gt;=61,R243 &lt;=70),"B",AND(R243 &gt;=51,R243 &lt;=60),"C",AND(R243 &gt;=40,R243 &lt;=50),"D",R243 &lt;40,"F",R243="No Score","No Grade",OR(R243&gt;100,R243&lt;0),"Invalid score")</f>
        <v>A</v>
      </c>
      <c r="T243" t="str" cm="1">
        <f t="array" ref="T243">_xlfn.IFS(S243="A+","Distinction",S243="A","Excellent", S243="B","Credit",S243="C","Very Good", S243="D","Good",S243="F","Poor",OR(S243="No Grade",S243="Invalid Score"),"No Remark")</f>
        <v>Excellent</v>
      </c>
    </row>
    <row r="244" spans="1:20" x14ac:dyDescent="0.2">
      <c r="A244" s="1" t="s">
        <v>728</v>
      </c>
      <c r="B244" s="7">
        <f t="shared" si="31"/>
        <v>45545.8672337963</v>
      </c>
      <c r="C244" s="8">
        <f t="shared" si="34"/>
        <v>45545.8672337963</v>
      </c>
      <c r="D244" s="9">
        <f t="shared" si="35"/>
        <v>0.86723379629984265</v>
      </c>
      <c r="E244" s="1" t="s">
        <v>719</v>
      </c>
      <c r="F244" s="1" t="s">
        <v>107</v>
      </c>
      <c r="G244" s="1" t="str">
        <f t="shared" si="36"/>
        <v>Musa</v>
      </c>
      <c r="H244" s="1" t="s">
        <v>729</v>
      </c>
      <c r="I244" s="1" t="str">
        <f t="shared" si="37"/>
        <v>Isa</v>
      </c>
      <c r="J244" s="1" t="str">
        <f t="shared" si="32"/>
        <v>Musa Isa</v>
      </c>
      <c r="K244" s="1" t="str">
        <f t="shared" si="33"/>
        <v>Unique</v>
      </c>
      <c r="L244" s="1" t="str">
        <f t="shared" si="40"/>
        <v>musaisa@3mtt.com</v>
      </c>
      <c r="M244" s="1" t="s">
        <v>21</v>
      </c>
      <c r="N244" s="1" t="str">
        <f t="shared" si="38"/>
        <v>Male</v>
      </c>
      <c r="O244" s="1">
        <v>13</v>
      </c>
      <c r="P244" s="1">
        <v>12</v>
      </c>
      <c r="Q244" s="1">
        <v>36</v>
      </c>
      <c r="R244" s="2" cm="1">
        <f t="array" ref="R244">IF(AND(ISNUMBER(O244:Q244),SUM(O244:Q244)&lt;100),SUM(O244:Q244),"No Score")</f>
        <v>61</v>
      </c>
      <c r="S244" t="str" cm="1">
        <f t="array" ref="S244">_xlfn.IFS(AND(R244 &gt;=91,R244 &lt;=100),"A+",AND(R244 &gt;=71,R244 &lt;=90),"A",AND(R244 &gt;=61,R244 &lt;=70),"B",AND(R244 &gt;=51,R244 &lt;=60),"C",AND(R244 &gt;=40,R244 &lt;=50),"D",R244 &lt;40,"F",R244="No Score","No Grade",OR(R244&gt;100,R244&lt;0),"Invalid score")</f>
        <v>B</v>
      </c>
      <c r="T244" t="str" cm="1">
        <f t="array" ref="T244">_xlfn.IFS(S244="A+","Distinction",S244="A","Excellent", S244="B","Credit",S244="C","Very Good", S244="D","Good",S244="F","Poor",OR(S244="No Grade",S244="Invalid Score"),"No Remark")</f>
        <v>Credit</v>
      </c>
    </row>
    <row r="245" spans="1:20" x14ac:dyDescent="0.2">
      <c r="A245" s="1" t="s">
        <v>730</v>
      </c>
      <c r="B245" s="7">
        <f t="shared" si="31"/>
        <v>45545.879282407404</v>
      </c>
      <c r="C245" s="8">
        <f t="shared" si="34"/>
        <v>45545.879282407404</v>
      </c>
      <c r="D245" s="9">
        <f t="shared" si="35"/>
        <v>0.87928240740438923</v>
      </c>
      <c r="E245" s="1" t="s">
        <v>392</v>
      </c>
      <c r="F245" s="1" t="s">
        <v>731</v>
      </c>
      <c r="G245" s="1" t="str">
        <f t="shared" si="36"/>
        <v>Iliyasu</v>
      </c>
      <c r="H245" s="1" t="s">
        <v>378</v>
      </c>
      <c r="I245" s="1" t="str">
        <f t="shared" si="37"/>
        <v>Yusuf</v>
      </c>
      <c r="J245" s="1" t="str">
        <f t="shared" si="32"/>
        <v>Iliyasu Yusuf</v>
      </c>
      <c r="K245" s="1" t="str">
        <f t="shared" si="33"/>
        <v>Unique</v>
      </c>
      <c r="L245" s="1" t="str">
        <f t="shared" si="40"/>
        <v>iliyasuyusuf@3mtt.com</v>
      </c>
      <c r="M245" s="1" t="s">
        <v>21</v>
      </c>
      <c r="N245" s="1" t="str">
        <f t="shared" si="38"/>
        <v>Male</v>
      </c>
      <c r="O245" s="1">
        <v>13</v>
      </c>
      <c r="P245" s="1">
        <v>11</v>
      </c>
      <c r="Q245" s="1">
        <v>32</v>
      </c>
      <c r="R245" s="2" cm="1">
        <f t="array" ref="R245">IF(AND(ISNUMBER(O245:Q245),SUM(O245:Q245)&lt;100),SUM(O245:Q245),"No Score")</f>
        <v>56</v>
      </c>
      <c r="S245" t="str" cm="1">
        <f t="array" ref="S245">_xlfn.IFS(AND(R245 &gt;=91,R245 &lt;=100),"A+",AND(R245 &gt;=71,R245 &lt;=90),"A",AND(R245 &gt;=61,R245 &lt;=70),"B",AND(R245 &gt;=51,R245 &lt;=60),"C",AND(R245 &gt;=40,R245 &lt;=50),"D",R245 &lt;40,"F",R245="No Score","No Grade",OR(R245&gt;100,R245&lt;0),"Invalid score")</f>
        <v>C</v>
      </c>
      <c r="T245" t="str" cm="1">
        <f t="array" ref="T245">_xlfn.IFS(S245="A+","Distinction",S245="A","Excellent", S245="B","Credit",S245="C","Very Good", S245="D","Good",S245="F","Poor",OR(S245="No Grade",S245="Invalid Score"),"No Remark")</f>
        <v>Very Good</v>
      </c>
    </row>
    <row r="246" spans="1:20" x14ac:dyDescent="0.2">
      <c r="A246" s="1" t="s">
        <v>732</v>
      </c>
      <c r="B246" s="7">
        <f t="shared" si="31"/>
        <v>45545.879884259259</v>
      </c>
      <c r="C246" s="8">
        <f t="shared" si="34"/>
        <v>45545.879884259259</v>
      </c>
      <c r="D246" s="9">
        <f t="shared" si="35"/>
        <v>0.87988425925868796</v>
      </c>
      <c r="E246" s="1" t="s">
        <v>392</v>
      </c>
      <c r="F246" s="1" t="s">
        <v>733</v>
      </c>
      <c r="G246" s="1" t="str">
        <f t="shared" si="36"/>
        <v>Ameera</v>
      </c>
      <c r="H246" s="1" t="s">
        <v>734</v>
      </c>
      <c r="I246" s="1" t="str">
        <f t="shared" si="37"/>
        <v>Sunusi</v>
      </c>
      <c r="J246" s="1" t="str">
        <f t="shared" si="32"/>
        <v>Ameera Sunusi</v>
      </c>
      <c r="K246" s="1" t="str">
        <f t="shared" si="33"/>
        <v>Unique</v>
      </c>
      <c r="L246" s="1" t="str">
        <f t="shared" si="40"/>
        <v>ameerasunusi@3mtt.com</v>
      </c>
      <c r="M246" s="1" t="s">
        <v>12</v>
      </c>
      <c r="N246" s="1" t="str">
        <f t="shared" si="38"/>
        <v>Female</v>
      </c>
      <c r="O246" s="1">
        <v>15</v>
      </c>
      <c r="P246" s="1">
        <v>10</v>
      </c>
      <c r="Q246" s="1">
        <v>43</v>
      </c>
      <c r="R246" s="2" cm="1">
        <f t="array" ref="R246">IF(AND(ISNUMBER(O246:Q246),SUM(O246:Q246)&lt;100),SUM(O246:Q246),"No Score")</f>
        <v>68</v>
      </c>
      <c r="S246" t="str" cm="1">
        <f t="array" ref="S246">_xlfn.IFS(AND(R246 &gt;=91,R246 &lt;=100),"A+",AND(R246 &gt;=71,R246 &lt;=90),"A",AND(R246 &gt;=61,R246 &lt;=70),"B",AND(R246 &gt;=51,R246 &lt;=60),"C",AND(R246 &gt;=40,R246 &lt;=50),"D",R246 &lt;40,"F",R246="No Score","No Grade",OR(R246&gt;100,R246&lt;0),"Invalid score")</f>
        <v>B</v>
      </c>
      <c r="T246" t="str" cm="1">
        <f t="array" ref="T246">_xlfn.IFS(S246="A+","Distinction",S246="A","Excellent", S246="B","Credit",S246="C","Very Good", S246="D","Good",S246="F","Poor",OR(S246="No Grade",S246="Invalid Score"),"No Remark")</f>
        <v>Credit</v>
      </c>
    </row>
    <row r="247" spans="1:20" x14ac:dyDescent="0.2">
      <c r="A247" s="1" t="s">
        <v>735</v>
      </c>
      <c r="B247" s="7">
        <f t="shared" si="31"/>
        <v>45545.880428240744</v>
      </c>
      <c r="C247" s="8">
        <f t="shared" si="34"/>
        <v>45545.880428240744</v>
      </c>
      <c r="D247" s="9">
        <f t="shared" si="35"/>
        <v>0.88042824074364034</v>
      </c>
      <c r="E247" s="1" t="s">
        <v>392</v>
      </c>
      <c r="F247" s="1" t="s">
        <v>134</v>
      </c>
      <c r="G247" s="1" t="str">
        <f t="shared" si="36"/>
        <v>Aishat</v>
      </c>
      <c r="H247" s="1" t="s">
        <v>736</v>
      </c>
      <c r="I247" s="1" t="str">
        <f t="shared" si="37"/>
        <v>Bindawa</v>
      </c>
      <c r="J247" s="1" t="str">
        <f t="shared" si="32"/>
        <v>Aishat Bindawa</v>
      </c>
      <c r="K247" s="1" t="str">
        <f t="shared" si="33"/>
        <v>Unique</v>
      </c>
      <c r="L247" s="1" t="str">
        <f t="shared" si="40"/>
        <v>aishatbindawa@3mtt.com</v>
      </c>
      <c r="M247" s="1" t="s">
        <v>12</v>
      </c>
      <c r="N247" s="1" t="str">
        <f t="shared" si="38"/>
        <v>Female</v>
      </c>
      <c r="O247" s="1">
        <v>16</v>
      </c>
      <c r="P247" s="1">
        <v>9</v>
      </c>
      <c r="Q247" s="1">
        <v>45</v>
      </c>
      <c r="R247" s="2" cm="1">
        <f t="array" ref="R247">IF(AND(ISNUMBER(O247:Q247),SUM(O247:Q247)&lt;100),SUM(O247:Q247),"No Score")</f>
        <v>70</v>
      </c>
      <c r="S247" t="str" cm="1">
        <f t="array" ref="S247">_xlfn.IFS(AND(R247 &gt;=91,R247 &lt;=100),"A+",AND(R247 &gt;=71,R247 &lt;=90),"A",AND(R247 &gt;=61,R247 &lt;=70),"B",AND(R247 &gt;=51,R247 &lt;=60),"C",AND(R247 &gt;=40,R247 &lt;=50),"D",R247 &lt;40,"F",R247="No Score","No Grade",OR(R247&gt;100,R247&lt;0),"Invalid score")</f>
        <v>B</v>
      </c>
      <c r="T247" t="str" cm="1">
        <f t="array" ref="T247">_xlfn.IFS(S247="A+","Distinction",S247="A","Excellent", S247="B","Credit",S247="C","Very Good", S247="D","Good",S247="F","Poor",OR(S247="No Grade",S247="Invalid Score"),"No Remark")</f>
        <v>Credit</v>
      </c>
    </row>
    <row r="248" spans="1:20" x14ac:dyDescent="0.2">
      <c r="A248" s="1" t="s">
        <v>737</v>
      </c>
      <c r="B248" s="7">
        <f t="shared" si="31"/>
        <v>45545.880891203706</v>
      </c>
      <c r="C248" s="8">
        <f t="shared" si="34"/>
        <v>45545.880891203706</v>
      </c>
      <c r="D248" s="9">
        <f t="shared" si="35"/>
        <v>0.88089120370568708</v>
      </c>
      <c r="E248" s="1" t="s">
        <v>392</v>
      </c>
      <c r="F248" s="1" t="s">
        <v>738</v>
      </c>
      <c r="G248" s="1" t="str">
        <f t="shared" si="36"/>
        <v>Wapuken</v>
      </c>
      <c r="H248" s="1" t="s">
        <v>739</v>
      </c>
      <c r="I248" s="1" t="str">
        <f t="shared" si="37"/>
        <v>Tsoken</v>
      </c>
      <c r="J248" s="1" t="str">
        <f t="shared" si="32"/>
        <v>Wapuken Tsoken</v>
      </c>
      <c r="K248" s="1" t="str">
        <f t="shared" si="33"/>
        <v>Unique</v>
      </c>
      <c r="L248" s="1" t="str">
        <f t="shared" si="40"/>
        <v>wapukentsoken@3mtt.com</v>
      </c>
      <c r="M248" s="1" t="s">
        <v>12</v>
      </c>
      <c r="N248" s="1" t="str">
        <f t="shared" si="38"/>
        <v>Female</v>
      </c>
      <c r="O248" s="1">
        <v>12</v>
      </c>
      <c r="P248" s="1">
        <v>14</v>
      </c>
      <c r="Q248" s="1">
        <v>38</v>
      </c>
      <c r="R248" s="2" cm="1">
        <f t="array" ref="R248">IF(AND(ISNUMBER(O248:Q248),SUM(O248:Q248)&lt;100),SUM(O248:Q248),"No Score")</f>
        <v>64</v>
      </c>
      <c r="S248" t="str" cm="1">
        <f t="array" ref="S248">_xlfn.IFS(AND(R248 &gt;=91,R248 &lt;=100),"A+",AND(R248 &gt;=71,R248 &lt;=90),"A",AND(R248 &gt;=61,R248 &lt;=70),"B",AND(R248 &gt;=51,R248 &lt;=60),"C",AND(R248 &gt;=40,R248 &lt;=50),"D",R248 &lt;40,"F",R248="No Score","No Grade",OR(R248&gt;100,R248&lt;0),"Invalid score")</f>
        <v>B</v>
      </c>
      <c r="T248" t="str" cm="1">
        <f t="array" ref="T248">_xlfn.IFS(S248="A+","Distinction",S248="A","Excellent", S248="B","Credit",S248="C","Very Good", S248="D","Good",S248="F","Poor",OR(S248="No Grade",S248="Invalid Score"),"No Remark")</f>
        <v>Credit</v>
      </c>
    </row>
    <row r="249" spans="1:20" x14ac:dyDescent="0.2">
      <c r="A249" s="1" t="s">
        <v>740</v>
      </c>
      <c r="B249" s="7">
        <f t="shared" si="31"/>
        <v>45545.881342592591</v>
      </c>
      <c r="C249" s="8">
        <f t="shared" si="34"/>
        <v>45545.881342592591</v>
      </c>
      <c r="D249" s="9">
        <f t="shared" si="35"/>
        <v>0.88134259259095415</v>
      </c>
      <c r="E249" s="1" t="s">
        <v>392</v>
      </c>
      <c r="F249" s="1" t="s">
        <v>159</v>
      </c>
      <c r="G249" s="1" t="str">
        <f t="shared" si="36"/>
        <v>James</v>
      </c>
      <c r="H249" s="1" t="s">
        <v>741</v>
      </c>
      <c r="I249" s="1" t="str">
        <f t="shared" si="37"/>
        <v>Kenneth</v>
      </c>
      <c r="J249" s="1" t="str">
        <f t="shared" si="32"/>
        <v>James Kenneth</v>
      </c>
      <c r="K249" s="1" t="str">
        <f t="shared" si="33"/>
        <v>Unique</v>
      </c>
      <c r="L249" s="1" t="str">
        <f t="shared" si="40"/>
        <v>jameskenneth@3mtt.com</v>
      </c>
      <c r="M249" s="1" t="s">
        <v>21</v>
      </c>
      <c r="N249" s="1" t="str">
        <f t="shared" si="38"/>
        <v>Male</v>
      </c>
      <c r="O249" s="1">
        <v>17</v>
      </c>
      <c r="P249" s="1">
        <v>10</v>
      </c>
      <c r="Q249" s="1">
        <v>34</v>
      </c>
      <c r="R249" s="2" cm="1">
        <f t="array" ref="R249">IF(AND(ISNUMBER(O249:Q249),SUM(O249:Q249)&lt;100),SUM(O249:Q249),"No Score")</f>
        <v>61</v>
      </c>
      <c r="S249" t="str" cm="1">
        <f t="array" ref="S249">_xlfn.IFS(AND(R249 &gt;=91,R249 &lt;=100),"A+",AND(R249 &gt;=71,R249 &lt;=90),"A",AND(R249 &gt;=61,R249 &lt;=70),"B",AND(R249 &gt;=51,R249 &lt;=60),"C",AND(R249 &gt;=40,R249 &lt;=50),"D",R249 &lt;40,"F",R249="No Score","No Grade",OR(R249&gt;100,R249&lt;0),"Invalid score")</f>
        <v>B</v>
      </c>
      <c r="T249" t="str" cm="1">
        <f t="array" ref="T249">_xlfn.IFS(S249="A+","Distinction",S249="A","Excellent", S249="B","Credit",S249="C","Very Good", S249="D","Good",S249="F","Poor",OR(S249="No Grade",S249="Invalid Score"),"No Remark")</f>
        <v>Credit</v>
      </c>
    </row>
    <row r="250" spans="1:20" x14ac:dyDescent="0.2">
      <c r="A250" s="1" t="s">
        <v>742</v>
      </c>
      <c r="B250" s="7">
        <f t="shared" si="31"/>
        <v>45546.389791666668</v>
      </c>
      <c r="C250" s="8">
        <f t="shared" si="34"/>
        <v>45546.389791666668</v>
      </c>
      <c r="D250" s="9">
        <f t="shared" si="35"/>
        <v>0.38979166666831588</v>
      </c>
      <c r="E250" s="1" t="s">
        <v>281</v>
      </c>
      <c r="F250" s="1" t="s">
        <v>743</v>
      </c>
      <c r="G250" s="1" t="str">
        <f t="shared" si="36"/>
        <v>Farida</v>
      </c>
      <c r="H250" s="1" t="s">
        <v>744</v>
      </c>
      <c r="I250" s="1" t="str">
        <f t="shared" si="37"/>
        <v>Muhammed</v>
      </c>
      <c r="J250" s="1" t="str">
        <f t="shared" si="32"/>
        <v>Farida Muhammed</v>
      </c>
      <c r="K250" s="1" t="str">
        <f t="shared" si="33"/>
        <v>Unique</v>
      </c>
      <c r="L250" s="1" t="str">
        <f t="shared" si="40"/>
        <v>faridamuhammed@3mtt.com</v>
      </c>
      <c r="M250" s="1" t="s">
        <v>496</v>
      </c>
      <c r="N250" s="1" t="str">
        <f t="shared" si="38"/>
        <v>Female</v>
      </c>
      <c r="O250" s="1">
        <v>10</v>
      </c>
      <c r="P250" s="1">
        <v>15</v>
      </c>
      <c r="Q250" s="1">
        <v>45</v>
      </c>
      <c r="R250" s="2" cm="1">
        <f t="array" ref="R250">IF(AND(ISNUMBER(O250:Q250),SUM(O250:Q250)&lt;100),SUM(O250:Q250),"No Score")</f>
        <v>70</v>
      </c>
      <c r="S250" t="str" cm="1">
        <f t="array" ref="S250">_xlfn.IFS(AND(R250 &gt;=91,R250 &lt;=100),"A+",AND(R250 &gt;=71,R250 &lt;=90),"A",AND(R250 &gt;=61,R250 &lt;=70),"B",AND(R250 &gt;=51,R250 &lt;=60),"C",AND(R250 &gt;=40,R250 &lt;=50),"D",R250 &lt;40,"F",R250="No Score","No Grade",OR(R250&gt;100,R250&lt;0),"Invalid score")</f>
        <v>B</v>
      </c>
      <c r="T250" t="str" cm="1">
        <f t="array" ref="T250">_xlfn.IFS(S250="A+","Distinction",S250="A","Excellent", S250="B","Credit",S250="C","Very Good", S250="D","Good",S250="F","Poor",OR(S250="No Grade",S250="Invalid Score"),"No Remark")</f>
        <v>Credit</v>
      </c>
    </row>
    <row r="251" spans="1:20" x14ac:dyDescent="0.2">
      <c r="A251" s="1" t="s">
        <v>745</v>
      </c>
      <c r="B251" s="7">
        <f t="shared" si="31"/>
        <v>45546.3903587963</v>
      </c>
      <c r="C251" s="8">
        <f t="shared" si="34"/>
        <v>45546.3903587963</v>
      </c>
      <c r="D251" s="9">
        <f t="shared" si="35"/>
        <v>0.39035879629955161</v>
      </c>
      <c r="E251" s="1" t="s">
        <v>281</v>
      </c>
      <c r="F251" s="1" t="s">
        <v>52</v>
      </c>
      <c r="G251" s="1" t="str">
        <f t="shared" si="36"/>
        <v>David</v>
      </c>
      <c r="H251" s="1" t="s">
        <v>746</v>
      </c>
      <c r="I251" s="1" t="str">
        <f t="shared" si="37"/>
        <v>Tukura</v>
      </c>
      <c r="J251" s="1" t="str">
        <f t="shared" si="32"/>
        <v>David Tukura</v>
      </c>
      <c r="K251" s="1" t="str">
        <f t="shared" si="33"/>
        <v>Unique</v>
      </c>
      <c r="L251" s="1" t="str">
        <f t="shared" si="40"/>
        <v>davidtukura@3mtt.com</v>
      </c>
      <c r="M251" s="1" t="s">
        <v>21</v>
      </c>
      <c r="N251" s="1" t="str">
        <f t="shared" si="38"/>
        <v>Male</v>
      </c>
      <c r="O251" s="1">
        <v>14</v>
      </c>
      <c r="P251" s="1">
        <v>12</v>
      </c>
      <c r="Q251" s="1">
        <v>50</v>
      </c>
      <c r="R251" s="2" cm="1">
        <f t="array" ref="R251">IF(AND(ISNUMBER(O251:Q251),SUM(O251:Q251)&lt;100),SUM(O251:Q251),"No Score")</f>
        <v>76</v>
      </c>
      <c r="S251" t="str" cm="1">
        <f t="array" ref="S251">_xlfn.IFS(AND(R251 &gt;=91,R251 &lt;=100),"A+",AND(R251 &gt;=71,R251 &lt;=90),"A",AND(R251 &gt;=61,R251 &lt;=70),"B",AND(R251 &gt;=51,R251 &lt;=60),"C",AND(R251 &gt;=40,R251 &lt;=50),"D",R251 &lt;40,"F",R251="No Score","No Grade",OR(R251&gt;100,R251&lt;0),"Invalid score")</f>
        <v>A</v>
      </c>
      <c r="T251" t="str" cm="1">
        <f t="array" ref="T251">_xlfn.IFS(S251="A+","Distinction",S251="A","Excellent", S251="B","Credit",S251="C","Very Good", S251="D","Good",S251="F","Poor",OR(S251="No Grade",S251="Invalid Score"),"No Remark")</f>
        <v>Excellent</v>
      </c>
    </row>
    <row r="252" spans="1:20" x14ac:dyDescent="0.2">
      <c r="A252" s="1" t="s">
        <v>747</v>
      </c>
      <c r="B252" s="7">
        <f t="shared" si="31"/>
        <v>45546.390717592592</v>
      </c>
      <c r="C252" s="8">
        <f t="shared" si="34"/>
        <v>45546.390717592592</v>
      </c>
      <c r="D252" s="9">
        <f t="shared" si="35"/>
        <v>0.39071759259240935</v>
      </c>
      <c r="E252" s="1" t="s">
        <v>281</v>
      </c>
      <c r="F252" s="1" t="s">
        <v>273</v>
      </c>
      <c r="G252" s="1" t="str">
        <f t="shared" si="36"/>
        <v>Aisha</v>
      </c>
      <c r="H252" s="1" t="s">
        <v>748</v>
      </c>
      <c r="I252" s="1" t="str">
        <f t="shared" si="37"/>
        <v>Kareem</v>
      </c>
      <c r="J252" s="1" t="str">
        <f t="shared" si="32"/>
        <v>Aisha Kareem</v>
      </c>
      <c r="K252" s="1" t="str">
        <f t="shared" si="33"/>
        <v>Unique</v>
      </c>
      <c r="L252" s="1" t="str">
        <f t="shared" si="40"/>
        <v>aishakareem@3mtt.com</v>
      </c>
      <c r="M252" s="1" t="s">
        <v>12</v>
      </c>
      <c r="N252" s="1" t="str">
        <f t="shared" si="38"/>
        <v>Female</v>
      </c>
      <c r="O252" s="1">
        <v>11</v>
      </c>
      <c r="P252" s="1">
        <v>19</v>
      </c>
      <c r="Q252" s="1">
        <v>55</v>
      </c>
      <c r="R252" s="2" cm="1">
        <f t="array" ref="R252">IF(AND(ISNUMBER(O252:Q252),SUM(O252:Q252)&lt;100),SUM(O252:Q252),"No Score")</f>
        <v>85</v>
      </c>
      <c r="S252" t="str" cm="1">
        <f t="array" ref="S252">_xlfn.IFS(AND(R252 &gt;=91,R252 &lt;=100),"A+",AND(R252 &gt;=71,R252 &lt;=90),"A",AND(R252 &gt;=61,R252 &lt;=70),"B",AND(R252 &gt;=51,R252 &lt;=60),"C",AND(R252 &gt;=40,R252 &lt;=50),"D",R252 &lt;40,"F",R252="No Score","No Grade",OR(R252&gt;100,R252&lt;0),"Invalid score")</f>
        <v>A</v>
      </c>
      <c r="T252" t="str" cm="1">
        <f t="array" ref="T252">_xlfn.IFS(S252="A+","Distinction",S252="A","Excellent", S252="B","Credit",S252="C","Very Good", S252="D","Good",S252="F","Poor",OR(S252="No Grade",S252="Invalid Score"),"No Remark")</f>
        <v>Excellent</v>
      </c>
    </row>
    <row r="253" spans="1:20" x14ac:dyDescent="0.2">
      <c r="A253" s="1" t="s">
        <v>749</v>
      </c>
      <c r="B253" s="7">
        <f t="shared" si="31"/>
        <v>45546.391099537039</v>
      </c>
      <c r="C253" s="8">
        <f t="shared" si="34"/>
        <v>45546.391099537039</v>
      </c>
      <c r="D253" s="9">
        <f t="shared" si="35"/>
        <v>0.39109953703882638</v>
      </c>
      <c r="E253" s="1" t="s">
        <v>281</v>
      </c>
      <c r="F253" s="1" t="s">
        <v>750</v>
      </c>
      <c r="G253" s="1" t="str">
        <f t="shared" si="36"/>
        <v>Bimbo</v>
      </c>
      <c r="H253" s="1" t="s">
        <v>751</v>
      </c>
      <c r="I253" s="1" t="str">
        <f t="shared" si="37"/>
        <v>Manuel</v>
      </c>
      <c r="J253" s="1" t="str">
        <f t="shared" si="32"/>
        <v>Bimbo Manuel</v>
      </c>
      <c r="K253" s="1" t="str">
        <f t="shared" si="33"/>
        <v>Unique</v>
      </c>
      <c r="L253" s="1" t="str">
        <f t="shared" si="40"/>
        <v>bimbomanuel@3mtt.com</v>
      </c>
      <c r="M253" s="1" t="s">
        <v>21</v>
      </c>
      <c r="N253" s="1" t="str">
        <f t="shared" si="38"/>
        <v>Male</v>
      </c>
      <c r="O253" s="1">
        <v>18</v>
      </c>
      <c r="P253" s="1">
        <v>15</v>
      </c>
      <c r="Q253" s="1">
        <v>40</v>
      </c>
      <c r="R253" s="2" cm="1">
        <f t="array" ref="R253">IF(AND(ISNUMBER(O253:Q253),SUM(O253:Q253)&lt;100),SUM(O253:Q253),"No Score")</f>
        <v>73</v>
      </c>
      <c r="S253" t="str" cm="1">
        <f t="array" ref="S253">_xlfn.IFS(AND(R253 &gt;=91,R253 &lt;=100),"A+",AND(R253 &gt;=71,R253 &lt;=90),"A",AND(R253 &gt;=61,R253 &lt;=70),"B",AND(R253 &gt;=51,R253 &lt;=60),"C",AND(R253 &gt;=40,R253 &lt;=50),"D",R253 &lt;40,"F",R253="No Score","No Grade",OR(R253&gt;100,R253&lt;0),"Invalid score")</f>
        <v>A</v>
      </c>
      <c r="T253" t="str" cm="1">
        <f t="array" ref="T253">_xlfn.IFS(S253="A+","Distinction",S253="A","Excellent", S253="B","Credit",S253="C","Very Good", S253="D","Good",S253="F","Poor",OR(S253="No Grade",S253="Invalid Score"),"No Remark")</f>
        <v>Excellent</v>
      </c>
    </row>
    <row r="254" spans="1:20" x14ac:dyDescent="0.2">
      <c r="A254" s="1" t="s">
        <v>752</v>
      </c>
      <c r="B254" s="7">
        <f t="shared" si="31"/>
        <v>45546.667581018519</v>
      </c>
      <c r="C254" s="8">
        <f t="shared" si="34"/>
        <v>45546.667581018519</v>
      </c>
      <c r="D254" s="9">
        <f t="shared" si="35"/>
        <v>0.66758101851883112</v>
      </c>
      <c r="E254" s="1" t="s">
        <v>753</v>
      </c>
      <c r="F254" s="1" t="s">
        <v>283</v>
      </c>
      <c r="G254" s="1" t="str">
        <f t="shared" si="36"/>
        <v>Emmanuel</v>
      </c>
      <c r="H254" s="1" t="s">
        <v>89</v>
      </c>
      <c r="I254" s="1" t="str">
        <f t="shared" si="37"/>
        <v>Okoh</v>
      </c>
      <c r="J254" s="1" t="str">
        <f t="shared" si="32"/>
        <v>Emmanuel Okoh</v>
      </c>
      <c r="K254" s="1" t="str">
        <f t="shared" si="33"/>
        <v>Unique</v>
      </c>
      <c r="L254" s="1" t="str">
        <f t="shared" si="40"/>
        <v>emmanuelokoh@3mtt.com</v>
      </c>
      <c r="M254" s="1" t="s">
        <v>21</v>
      </c>
      <c r="N254" s="1" t="str">
        <f t="shared" si="38"/>
        <v>Male</v>
      </c>
      <c r="O254" s="1">
        <v>14</v>
      </c>
      <c r="P254" s="1">
        <v>16</v>
      </c>
      <c r="Q254" s="1">
        <v>44</v>
      </c>
      <c r="R254" s="2" cm="1">
        <f t="array" ref="R254">IF(AND(ISNUMBER(O254:Q254),SUM(O254:Q254)&lt;100),SUM(O254:Q254),"No Score")</f>
        <v>74</v>
      </c>
      <c r="S254" t="str" cm="1">
        <f t="array" ref="S254">_xlfn.IFS(AND(R254 &gt;=91,R254 &lt;=100),"A+",AND(R254 &gt;=71,R254 &lt;=90),"A",AND(R254 &gt;=61,R254 &lt;=70),"B",AND(R254 &gt;=51,R254 &lt;=60),"C",AND(R254 &gt;=40,R254 &lt;=50),"D",R254 &lt;40,"F",R254="No Score","No Grade",OR(R254&gt;100,R254&lt;0),"Invalid score")</f>
        <v>A</v>
      </c>
      <c r="T254" t="str" cm="1">
        <f t="array" ref="T254">_xlfn.IFS(S254="A+","Distinction",S254="A","Excellent", S254="B","Credit",S254="C","Very Good", S254="D","Good",S254="F","Poor",OR(S254="No Grade",S254="Invalid Score"),"No Remark")</f>
        <v>Excellent</v>
      </c>
    </row>
    <row r="255" spans="1:20" x14ac:dyDescent="0.2">
      <c r="A255" s="1" t="s">
        <v>754</v>
      </c>
      <c r="B255" s="7">
        <f t="shared" si="31"/>
        <v>45546.668321759258</v>
      </c>
      <c r="C255" s="8">
        <f t="shared" si="34"/>
        <v>45546.668321759258</v>
      </c>
      <c r="D255" s="9">
        <f t="shared" si="35"/>
        <v>0.66832175925810589</v>
      </c>
      <c r="E255" s="1" t="s">
        <v>753</v>
      </c>
      <c r="F255" s="1" t="s">
        <v>755</v>
      </c>
      <c r="G255" s="1" t="str">
        <f t="shared" si="36"/>
        <v>Sarah</v>
      </c>
      <c r="H255" s="1" t="s">
        <v>154</v>
      </c>
      <c r="I255" s="1" t="str">
        <f t="shared" si="37"/>
        <v>John</v>
      </c>
      <c r="J255" s="1" t="str">
        <f t="shared" si="32"/>
        <v>Sarah John</v>
      </c>
      <c r="K255" s="1" t="str">
        <f t="shared" si="33"/>
        <v>Duplicate</v>
      </c>
      <c r="L255" s="1" t="str">
        <f t="shared" si="40"/>
        <v>sarahjohn@3mtt.com</v>
      </c>
      <c r="M255" s="1" t="s">
        <v>17</v>
      </c>
      <c r="N255" s="1" t="str">
        <f t="shared" si="38"/>
        <v xml:space="preserve">Female </v>
      </c>
      <c r="O255" s="1">
        <v>18</v>
      </c>
      <c r="P255" s="1">
        <v>17</v>
      </c>
      <c r="Q255" s="1">
        <v>55</v>
      </c>
      <c r="R255" s="2" cm="1">
        <f t="array" ref="R255">IF(AND(ISNUMBER(O255:Q255),SUM(O255:Q255)&lt;100),SUM(O255:Q255),"No Score")</f>
        <v>90</v>
      </c>
      <c r="S255" t="str" cm="1">
        <f t="array" ref="S255">_xlfn.IFS(AND(R255 &gt;=91,R255 &lt;=100),"A+",AND(R255 &gt;=71,R255 &lt;=90),"A",AND(R255 &gt;=61,R255 &lt;=70),"B",AND(R255 &gt;=51,R255 &lt;=60),"C",AND(R255 &gt;=40,R255 &lt;=50),"D",R255 &lt;40,"F",R255="No Score","No Grade",OR(R255&gt;100,R255&lt;0),"Invalid score")</f>
        <v>A</v>
      </c>
      <c r="T255" t="str" cm="1">
        <f t="array" ref="T255">_xlfn.IFS(S255="A+","Distinction",S255="A","Excellent", S255="B","Credit",S255="C","Very Good", S255="D","Good",S255="F","Poor",OR(S255="No Grade",S255="Invalid Score"),"No Remark")</f>
        <v>Excellent</v>
      </c>
    </row>
    <row r="256" spans="1:20" x14ac:dyDescent="0.2">
      <c r="A256" s="1" t="s">
        <v>756</v>
      </c>
      <c r="B256" s="7">
        <f t="shared" si="31"/>
        <v>45546.669004629628</v>
      </c>
      <c r="C256" s="8">
        <f t="shared" si="34"/>
        <v>45546.669004629628</v>
      </c>
      <c r="D256" s="9">
        <f t="shared" si="35"/>
        <v>0.66900462962803431</v>
      </c>
      <c r="E256" s="1" t="s">
        <v>753</v>
      </c>
      <c r="F256" s="1" t="s">
        <v>757</v>
      </c>
      <c r="G256" s="1" t="str">
        <f t="shared" si="36"/>
        <v>Tolu</v>
      </c>
      <c r="H256" s="1" t="s">
        <v>758</v>
      </c>
      <c r="I256" s="1" t="str">
        <f t="shared" si="37"/>
        <v>Ife</v>
      </c>
      <c r="J256" s="1" t="str">
        <f t="shared" si="32"/>
        <v>Tolu Ife</v>
      </c>
      <c r="K256" s="1" t="str">
        <f t="shared" si="33"/>
        <v>Unique</v>
      </c>
      <c r="L256" s="1" t="str">
        <f t="shared" si="40"/>
        <v>toluife@3mtt.com</v>
      </c>
      <c r="M256" s="1" t="s">
        <v>17</v>
      </c>
      <c r="N256" s="1" t="str">
        <f t="shared" si="38"/>
        <v xml:space="preserve">Female </v>
      </c>
      <c r="O256" s="1">
        <v>7</v>
      </c>
      <c r="P256" s="1">
        <v>13</v>
      </c>
      <c r="Q256" s="1">
        <v>25</v>
      </c>
      <c r="R256" s="2" cm="1">
        <f t="array" ref="R256">IF(AND(ISNUMBER(O256:Q256),SUM(O256:Q256)&lt;100),SUM(O256:Q256),"No Score")</f>
        <v>45</v>
      </c>
      <c r="S256" t="str" cm="1">
        <f t="array" ref="S256">_xlfn.IFS(AND(R256 &gt;=91,R256 &lt;=100),"A+",AND(R256 &gt;=71,R256 &lt;=90),"A",AND(R256 &gt;=61,R256 &lt;=70),"B",AND(R256 &gt;=51,R256 &lt;=60),"C",AND(R256 &gt;=40,R256 &lt;=50),"D",R256 &lt;40,"F",R256="No Score","No Grade",OR(R256&gt;100,R256&lt;0),"Invalid score")</f>
        <v>D</v>
      </c>
      <c r="T256" t="str" cm="1">
        <f t="array" ref="T256">_xlfn.IFS(S256="A+","Distinction",S256="A","Excellent", S256="B","Credit",S256="C","Very Good", S256="D","Good",S256="F","Poor",OR(S256="No Grade",S256="Invalid Score"),"No Remark")</f>
        <v>Good</v>
      </c>
    </row>
    <row r="257" spans="1:20" x14ac:dyDescent="0.2">
      <c r="A257" s="1" t="s">
        <v>759</v>
      </c>
      <c r="B257" s="7">
        <f t="shared" si="31"/>
        <v>45546.669618055559</v>
      </c>
      <c r="C257" s="8">
        <f t="shared" si="34"/>
        <v>45546.669618055559</v>
      </c>
      <c r="D257" s="9">
        <f t="shared" si="35"/>
        <v>0.66961805555911269</v>
      </c>
      <c r="E257" s="1" t="s">
        <v>753</v>
      </c>
      <c r="F257" s="1" t="s">
        <v>107</v>
      </c>
      <c r="G257" s="1" t="str">
        <f t="shared" si="36"/>
        <v>Musa</v>
      </c>
      <c r="H257" s="1" t="s">
        <v>760</v>
      </c>
      <c r="I257" s="1" t="str">
        <f t="shared" si="37"/>
        <v>Ibrahim</v>
      </c>
      <c r="J257" s="1" t="str">
        <f t="shared" si="32"/>
        <v>Musa Ibrahim</v>
      </c>
      <c r="K257" s="1" t="str">
        <f t="shared" si="33"/>
        <v>Duplicate</v>
      </c>
      <c r="L257" s="1" t="str">
        <f t="shared" si="40"/>
        <v>musaibrahim@3mtt.com</v>
      </c>
      <c r="M257" s="1" t="s">
        <v>53</v>
      </c>
      <c r="N257" s="1" t="str">
        <f t="shared" si="38"/>
        <v xml:space="preserve">Male </v>
      </c>
      <c r="O257" s="1">
        <v>16</v>
      </c>
      <c r="P257" s="1">
        <v>15</v>
      </c>
      <c r="Q257" s="1">
        <v>41</v>
      </c>
      <c r="R257" s="2" cm="1">
        <f t="array" ref="R257">IF(AND(ISNUMBER(O257:Q257),SUM(O257:Q257)&lt;100),SUM(O257:Q257),"No Score")</f>
        <v>72</v>
      </c>
      <c r="S257" t="str" cm="1">
        <f t="array" ref="S257">_xlfn.IFS(AND(R257 &gt;=91,R257 &lt;=100),"A+",AND(R257 &gt;=71,R257 &lt;=90),"A",AND(R257 &gt;=61,R257 &lt;=70),"B",AND(R257 &gt;=51,R257 &lt;=60),"C",AND(R257 &gt;=40,R257 &lt;=50),"D",R257 &lt;40,"F",R257="No Score","No Grade",OR(R257&gt;100,R257&lt;0),"Invalid score")</f>
        <v>A</v>
      </c>
      <c r="T257" t="str" cm="1">
        <f t="array" ref="T257">_xlfn.IFS(S257="A+","Distinction",S257="A","Excellent", S257="B","Credit",S257="C","Very Good", S257="D","Good",S257="F","Poor",OR(S257="No Grade",S257="Invalid Score"),"No Remark")</f>
        <v>Excellent</v>
      </c>
    </row>
    <row r="258" spans="1:20" x14ac:dyDescent="0.2">
      <c r="A258" s="1" t="s">
        <v>761</v>
      </c>
      <c r="B258" s="7">
        <f t="shared" ref="B258:B321" si="41">VALUE((SUBSTITUTE(A258,"GMT+1","")))</f>
        <v>45546.670243055552</v>
      </c>
      <c r="C258" s="8">
        <f t="shared" si="34"/>
        <v>45546.670243055552</v>
      </c>
      <c r="D258" s="9">
        <f t="shared" si="35"/>
        <v>0.67024305555241881</v>
      </c>
      <c r="E258" s="1" t="s">
        <v>753</v>
      </c>
      <c r="F258" s="1" t="s">
        <v>762</v>
      </c>
      <c r="G258" s="1" t="str">
        <f t="shared" si="36"/>
        <v>Rume</v>
      </c>
      <c r="H258" s="1" t="s">
        <v>763</v>
      </c>
      <c r="I258" s="1" t="str">
        <f t="shared" si="37"/>
        <v>Benson</v>
      </c>
      <c r="J258" s="1" t="str">
        <f t="shared" ref="J258:J321" si="42">_xlfn.CONCAT(G258," ",I258)</f>
        <v>Rume Benson</v>
      </c>
      <c r="K258" s="1" t="str">
        <f t="shared" ref="K258:K321" si="43">IF(COUNTIF($J$2:$J$258,J258)&gt;1,"Duplicate","Unique")</f>
        <v>Unique</v>
      </c>
      <c r="L258" s="1" t="str">
        <f t="shared" si="40"/>
        <v>rumebenson@3mtt.com</v>
      </c>
      <c r="M258" s="1" t="s">
        <v>17</v>
      </c>
      <c r="N258" s="1" t="str">
        <f t="shared" si="38"/>
        <v xml:space="preserve">Female </v>
      </c>
      <c r="O258" s="1">
        <v>12</v>
      </c>
      <c r="P258" s="1">
        <v>13</v>
      </c>
      <c r="Q258" s="1">
        <v>38</v>
      </c>
      <c r="R258" s="2" cm="1">
        <f t="array" ref="R258">IF(AND(ISNUMBER(O258:Q258),SUM(O258:Q258)&lt;100),SUM(O258:Q258),"No Score")</f>
        <v>63</v>
      </c>
      <c r="S258" t="str" cm="1">
        <f t="array" ref="S258">_xlfn.IFS(AND(R258 &gt;=91,R258 &lt;=100),"A+",AND(R258 &gt;=71,R258 &lt;=90),"A",AND(R258 &gt;=61,R258 &lt;=70),"B",AND(R258 &gt;=51,R258 &lt;=60),"C",AND(R258 &gt;=40,R258 &lt;=50),"D",R258 &lt;40,"F",R258="No Score","No Grade",OR(R258&gt;100,R258&lt;0),"Invalid score")</f>
        <v>B</v>
      </c>
      <c r="T258" t="str" cm="1">
        <f t="array" ref="T258">_xlfn.IFS(S258="A+","Distinction",S258="A","Excellent", S258="B","Credit",S258="C","Very Good", S258="D","Good",S258="F","Poor",OR(S258="No Grade",S258="Invalid Score"),"No Remark")</f>
        <v>Credit</v>
      </c>
    </row>
  </sheetData>
  <sortState xmlns:xlrd2="http://schemas.microsoft.com/office/spreadsheetml/2017/richdata2" ref="A2:T258">
    <sortCondition ref="B2:B258"/>
  </sortState>
  <conditionalFormatting sqref="J5">
    <cfRule type="colorScale" priority="1">
      <colorScale>
        <cfvo type="min"/>
        <cfvo type="max"/>
        <color rgb="FFFF7128"/>
        <color rgb="FFFFEF9C"/>
      </colorScale>
    </cfRule>
  </conditionalFormatting>
  <conditionalFormatting sqref="K1:K1048576"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9"/>
  <sheetViews>
    <sheetView workbookViewId="0">
      <selection activeCell="F7" sqref="F7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14</v>
      </c>
      <c r="G2" s="1">
        <v>16</v>
      </c>
      <c r="H2" s="1">
        <v>56</v>
      </c>
    </row>
    <row r="3" spans="1:8" x14ac:dyDescent="0.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12</v>
      </c>
      <c r="G3" s="1">
        <v>15</v>
      </c>
      <c r="H3" s="1">
        <v>50</v>
      </c>
    </row>
    <row r="4" spans="1:8" x14ac:dyDescent="0.2">
      <c r="A4" s="1" t="s">
        <v>18</v>
      </c>
      <c r="B4" s="1" t="s">
        <v>14</v>
      </c>
      <c r="C4" s="1" t="s">
        <v>19</v>
      </c>
      <c r="D4" s="1" t="s">
        <v>20</v>
      </c>
      <c r="E4" s="1" t="s">
        <v>21</v>
      </c>
      <c r="F4" s="1">
        <v>13</v>
      </c>
      <c r="G4" s="1">
        <v>18</v>
      </c>
      <c r="H4" s="1">
        <v>54</v>
      </c>
    </row>
    <row r="5" spans="1:8" x14ac:dyDescent="0.2">
      <c r="A5" s="1" t="s">
        <v>22</v>
      </c>
      <c r="B5" s="1" t="s">
        <v>14</v>
      </c>
      <c r="C5" s="1" t="s">
        <v>23</v>
      </c>
      <c r="D5" s="1" t="s">
        <v>24</v>
      </c>
      <c r="E5" s="1" t="s">
        <v>17</v>
      </c>
      <c r="F5" s="1">
        <v>10</v>
      </c>
      <c r="G5" s="1">
        <v>9</v>
      </c>
      <c r="H5" s="1">
        <v>40</v>
      </c>
    </row>
    <row r="6" spans="1:8" x14ac:dyDescent="0.2">
      <c r="A6" s="1" t="s">
        <v>25</v>
      </c>
      <c r="B6" s="1" t="s">
        <v>14</v>
      </c>
      <c r="C6" s="1" t="s">
        <v>26</v>
      </c>
      <c r="D6" s="1" t="s">
        <v>27</v>
      </c>
      <c r="E6" s="1" t="s">
        <v>21</v>
      </c>
      <c r="F6" s="1">
        <v>11</v>
      </c>
      <c r="G6" s="1">
        <v>14</v>
      </c>
      <c r="H6" s="1">
        <v>52</v>
      </c>
    </row>
    <row r="7" spans="1:8" x14ac:dyDescent="0.2">
      <c r="A7" s="1" t="s">
        <v>28</v>
      </c>
      <c r="B7" s="1" t="s">
        <v>14</v>
      </c>
      <c r="C7" s="1" t="s">
        <v>29</v>
      </c>
      <c r="D7" s="1" t="s">
        <v>30</v>
      </c>
      <c r="E7" s="1" t="s">
        <v>21</v>
      </c>
      <c r="F7" s="1">
        <v>9</v>
      </c>
      <c r="G7" s="1">
        <v>7</v>
      </c>
      <c r="H7" s="1">
        <v>35</v>
      </c>
    </row>
    <row r="8" spans="1:8" x14ac:dyDescent="0.2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  <c r="F8" s="1">
        <v>20</v>
      </c>
      <c r="G8" s="1">
        <v>10</v>
      </c>
      <c r="H8" s="1">
        <v>40</v>
      </c>
    </row>
    <row r="9" spans="1:8" x14ac:dyDescent="0.2">
      <c r="A9" s="1" t="s">
        <v>36</v>
      </c>
      <c r="B9" s="1" t="s">
        <v>32</v>
      </c>
      <c r="C9" s="1" t="s">
        <v>37</v>
      </c>
      <c r="D9" s="1" t="s">
        <v>38</v>
      </c>
      <c r="E9" s="1" t="s">
        <v>35</v>
      </c>
      <c r="F9" s="1">
        <v>15</v>
      </c>
      <c r="G9" s="1">
        <v>19</v>
      </c>
      <c r="H9" s="1">
        <v>53</v>
      </c>
    </row>
    <row r="10" spans="1:8" x14ac:dyDescent="0.2">
      <c r="A10" s="1" t="s">
        <v>39</v>
      </c>
      <c r="B10" s="1" t="s">
        <v>32</v>
      </c>
      <c r="C10" s="1" t="s">
        <v>40</v>
      </c>
      <c r="D10" s="1" t="s">
        <v>41</v>
      </c>
      <c r="E10" s="1" t="s">
        <v>42</v>
      </c>
      <c r="F10" s="1">
        <v>16</v>
      </c>
      <c r="G10" s="1">
        <v>16</v>
      </c>
      <c r="H10" s="1">
        <v>55</v>
      </c>
    </row>
    <row r="11" spans="1:8" x14ac:dyDescent="0.2">
      <c r="A11" s="1" t="s">
        <v>43</v>
      </c>
      <c r="B11" s="1" t="s">
        <v>32</v>
      </c>
      <c r="C11" s="1" t="s">
        <v>44</v>
      </c>
      <c r="D11" s="1" t="s">
        <v>45</v>
      </c>
      <c r="E11" s="1" t="s">
        <v>42</v>
      </c>
      <c r="F11" s="1">
        <v>17</v>
      </c>
      <c r="G11" s="1">
        <v>20</v>
      </c>
      <c r="H11" s="1">
        <v>58</v>
      </c>
    </row>
    <row r="12" spans="1:8" x14ac:dyDescent="0.2">
      <c r="A12" s="1" t="s">
        <v>46</v>
      </c>
      <c r="B12" s="1" t="s">
        <v>32</v>
      </c>
      <c r="C12" s="1" t="s">
        <v>47</v>
      </c>
      <c r="D12" s="1" t="s">
        <v>48</v>
      </c>
      <c r="E12" s="1" t="s">
        <v>35</v>
      </c>
      <c r="F12" s="1">
        <v>15</v>
      </c>
      <c r="G12" s="1">
        <v>16</v>
      </c>
      <c r="H12" s="1">
        <v>20</v>
      </c>
    </row>
    <row r="13" spans="1:8" x14ac:dyDescent="0.2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  <c r="F13" s="1">
        <v>18</v>
      </c>
      <c r="G13" s="1">
        <v>16</v>
      </c>
      <c r="H13" s="1">
        <v>48</v>
      </c>
    </row>
    <row r="14" spans="1:8" x14ac:dyDescent="0.2">
      <c r="A14" s="1" t="s">
        <v>54</v>
      </c>
      <c r="B14" s="1" t="s">
        <v>50</v>
      </c>
      <c r="C14" s="1" t="s">
        <v>55</v>
      </c>
      <c r="D14" s="1" t="s">
        <v>56</v>
      </c>
      <c r="E14" s="1" t="s">
        <v>17</v>
      </c>
      <c r="F14" s="1">
        <v>12</v>
      </c>
      <c r="G14" s="1">
        <v>14</v>
      </c>
      <c r="H14" s="1">
        <v>35</v>
      </c>
    </row>
    <row r="15" spans="1:8" x14ac:dyDescent="0.2">
      <c r="A15" s="1" t="s">
        <v>57</v>
      </c>
      <c r="B15" s="1" t="s">
        <v>50</v>
      </c>
      <c r="C15" s="1" t="s">
        <v>52</v>
      </c>
      <c r="D15" s="1" t="s">
        <v>58</v>
      </c>
      <c r="E15" s="1" t="s">
        <v>21</v>
      </c>
      <c r="F15" s="1">
        <v>15</v>
      </c>
      <c r="G15" s="1">
        <v>15</v>
      </c>
      <c r="H15" s="1">
        <v>38</v>
      </c>
    </row>
    <row r="16" spans="1:8" x14ac:dyDescent="0.2">
      <c r="A16" s="1" t="s">
        <v>59</v>
      </c>
      <c r="B16" s="1" t="s">
        <v>50</v>
      </c>
      <c r="C16" s="1" t="s">
        <v>60</v>
      </c>
      <c r="D16" s="1" t="s">
        <v>61</v>
      </c>
      <c r="E16" s="1" t="s">
        <v>21</v>
      </c>
      <c r="F16" s="1">
        <v>19</v>
      </c>
      <c r="G16" s="1">
        <v>17</v>
      </c>
      <c r="H16" s="1">
        <v>51</v>
      </c>
    </row>
    <row r="17" spans="1:8" x14ac:dyDescent="0.2">
      <c r="A17" s="1" t="s">
        <v>62</v>
      </c>
      <c r="B17" s="1" t="s">
        <v>50</v>
      </c>
      <c r="C17" s="1" t="s">
        <v>63</v>
      </c>
      <c r="D17" s="1" t="s">
        <v>64</v>
      </c>
      <c r="E17" s="1" t="s">
        <v>12</v>
      </c>
      <c r="F17" s="1">
        <v>20</v>
      </c>
      <c r="G17" s="1">
        <v>18</v>
      </c>
      <c r="H17" s="1">
        <v>53</v>
      </c>
    </row>
    <row r="18" spans="1:8" x14ac:dyDescent="0.2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21</v>
      </c>
      <c r="F18" s="1">
        <v>15</v>
      </c>
      <c r="G18" s="1">
        <v>17</v>
      </c>
      <c r="H18" s="1">
        <v>49</v>
      </c>
    </row>
    <row r="19" spans="1:8" x14ac:dyDescent="0.2">
      <c r="A19" s="1" t="s">
        <v>69</v>
      </c>
      <c r="B19" s="1" t="s">
        <v>66</v>
      </c>
      <c r="C19" s="1" t="s">
        <v>70</v>
      </c>
      <c r="D19" s="1" t="s">
        <v>71</v>
      </c>
      <c r="E19" s="1" t="s">
        <v>12</v>
      </c>
      <c r="F19" s="1">
        <v>18</v>
      </c>
      <c r="G19" s="1">
        <v>14</v>
      </c>
      <c r="H19" s="1">
        <v>51</v>
      </c>
    </row>
    <row r="20" spans="1:8" x14ac:dyDescent="0.2">
      <c r="A20" s="1" t="s">
        <v>72</v>
      </c>
      <c r="B20" s="1" t="s">
        <v>73</v>
      </c>
      <c r="C20" s="1" t="s">
        <v>74</v>
      </c>
      <c r="D20" s="1" t="s">
        <v>75</v>
      </c>
      <c r="E20" s="1" t="s">
        <v>21</v>
      </c>
      <c r="F20" s="1">
        <v>13</v>
      </c>
      <c r="G20" s="1">
        <v>16</v>
      </c>
      <c r="H20" s="1">
        <v>45</v>
      </c>
    </row>
    <row r="21" spans="1:8" x14ac:dyDescent="0.2">
      <c r="A21" s="1" t="s">
        <v>76</v>
      </c>
      <c r="B21" s="1" t="s">
        <v>73</v>
      </c>
      <c r="C21" s="1" t="s">
        <v>77</v>
      </c>
      <c r="D21" s="1" t="s">
        <v>78</v>
      </c>
      <c r="E21" s="1" t="s">
        <v>21</v>
      </c>
      <c r="F21" s="1">
        <v>15</v>
      </c>
      <c r="G21" s="1">
        <v>18</v>
      </c>
      <c r="H21" s="1">
        <v>50</v>
      </c>
    </row>
    <row r="22" spans="1:8" x14ac:dyDescent="0.2">
      <c r="A22" s="1" t="s">
        <v>79</v>
      </c>
      <c r="B22" s="1" t="s">
        <v>73</v>
      </c>
      <c r="C22" s="1" t="s">
        <v>80</v>
      </c>
      <c r="D22" s="1" t="s">
        <v>81</v>
      </c>
      <c r="E22" s="1" t="s">
        <v>12</v>
      </c>
      <c r="F22" s="1">
        <v>18</v>
      </c>
      <c r="G22" s="1">
        <v>17</v>
      </c>
      <c r="H22" s="1">
        <v>48</v>
      </c>
    </row>
    <row r="23" spans="1:8" x14ac:dyDescent="0.2">
      <c r="A23" s="1" t="s">
        <v>82</v>
      </c>
      <c r="B23" s="1" t="s">
        <v>83</v>
      </c>
      <c r="C23" s="1" t="s">
        <v>84</v>
      </c>
      <c r="D23" s="1" t="s">
        <v>85</v>
      </c>
      <c r="E23" s="1" t="s">
        <v>17</v>
      </c>
      <c r="F23" s="1">
        <v>18</v>
      </c>
      <c r="G23" s="1">
        <v>20</v>
      </c>
      <c r="H23" s="1">
        <v>57</v>
      </c>
    </row>
    <row r="24" spans="1:8" x14ac:dyDescent="0.2">
      <c r="A24" s="1" t="s">
        <v>86</v>
      </c>
      <c r="B24" s="1" t="s">
        <v>87</v>
      </c>
      <c r="C24" s="1" t="s">
        <v>88</v>
      </c>
      <c r="D24" s="1" t="s">
        <v>89</v>
      </c>
      <c r="E24" s="1" t="s">
        <v>21</v>
      </c>
      <c r="F24" s="1">
        <v>18</v>
      </c>
      <c r="G24" s="1">
        <v>15</v>
      </c>
      <c r="H24" s="1">
        <v>50</v>
      </c>
    </row>
    <row r="25" spans="1:8" x14ac:dyDescent="0.2">
      <c r="A25" s="1" t="s">
        <v>90</v>
      </c>
      <c r="B25" s="1" t="s">
        <v>87</v>
      </c>
      <c r="C25" s="1" t="s">
        <v>91</v>
      </c>
      <c r="D25" s="1" t="s">
        <v>92</v>
      </c>
      <c r="E25" s="1" t="s">
        <v>17</v>
      </c>
      <c r="F25" s="1">
        <v>10</v>
      </c>
      <c r="G25" s="1">
        <v>12</v>
      </c>
      <c r="H25" s="1">
        <v>45</v>
      </c>
    </row>
    <row r="26" spans="1:8" x14ac:dyDescent="0.2">
      <c r="A26" s="1" t="s">
        <v>93</v>
      </c>
      <c r="B26" s="1" t="s">
        <v>87</v>
      </c>
      <c r="C26" s="1" t="s">
        <v>94</v>
      </c>
      <c r="D26" s="1" t="s">
        <v>95</v>
      </c>
      <c r="E26" s="1" t="s">
        <v>17</v>
      </c>
      <c r="F26" s="1">
        <v>18</v>
      </c>
      <c r="G26" s="1">
        <v>18</v>
      </c>
      <c r="H26" s="1">
        <v>55</v>
      </c>
    </row>
    <row r="27" spans="1:8" x14ac:dyDescent="0.2">
      <c r="A27" s="1" t="s">
        <v>96</v>
      </c>
      <c r="B27" s="1" t="s">
        <v>87</v>
      </c>
      <c r="C27" s="1" t="s">
        <v>97</v>
      </c>
      <c r="D27" s="1" t="s">
        <v>98</v>
      </c>
      <c r="E27" s="1" t="s">
        <v>17</v>
      </c>
      <c r="F27" s="1">
        <v>12</v>
      </c>
      <c r="G27" s="1">
        <v>16</v>
      </c>
      <c r="H27" s="1">
        <v>40</v>
      </c>
    </row>
    <row r="28" spans="1:8" x14ac:dyDescent="0.2">
      <c r="A28" s="1" t="s">
        <v>99</v>
      </c>
      <c r="B28" s="1" t="s">
        <v>87</v>
      </c>
      <c r="C28" s="1" t="s">
        <v>100</v>
      </c>
      <c r="D28" s="1" t="s">
        <v>101</v>
      </c>
      <c r="E28" s="1" t="s">
        <v>21</v>
      </c>
      <c r="F28" s="1">
        <v>16</v>
      </c>
      <c r="G28" s="1">
        <v>18</v>
      </c>
      <c r="H28" s="1">
        <v>50</v>
      </c>
    </row>
    <row r="29" spans="1:8" x14ac:dyDescent="0.2">
      <c r="A29" s="1" t="s">
        <v>102</v>
      </c>
      <c r="B29" s="1" t="s">
        <v>87</v>
      </c>
      <c r="C29" s="1" t="s">
        <v>103</v>
      </c>
      <c r="D29" s="1" t="s">
        <v>104</v>
      </c>
      <c r="E29" s="1" t="s">
        <v>17</v>
      </c>
      <c r="F29" s="1">
        <v>19</v>
      </c>
      <c r="G29" s="1">
        <v>58</v>
      </c>
      <c r="H29" s="1">
        <v>58</v>
      </c>
    </row>
    <row r="30" spans="1:8" x14ac:dyDescent="0.2">
      <c r="A30" s="1" t="s">
        <v>105</v>
      </c>
      <c r="B30" s="1" t="s">
        <v>106</v>
      </c>
      <c r="C30" s="1" t="s">
        <v>107</v>
      </c>
      <c r="D30" s="1" t="s">
        <v>108</v>
      </c>
      <c r="E30" s="1" t="s">
        <v>21</v>
      </c>
      <c r="F30" s="1">
        <v>15</v>
      </c>
      <c r="G30" s="1">
        <v>14</v>
      </c>
      <c r="H30" s="1">
        <v>50</v>
      </c>
    </row>
    <row r="31" spans="1:8" x14ac:dyDescent="0.2">
      <c r="A31" s="1" t="s">
        <v>109</v>
      </c>
      <c r="B31" s="1" t="s">
        <v>106</v>
      </c>
      <c r="C31" s="1" t="s">
        <v>110</v>
      </c>
      <c r="D31" s="1" t="s">
        <v>111</v>
      </c>
      <c r="E31" s="1" t="s">
        <v>12</v>
      </c>
      <c r="F31" s="1">
        <v>12</v>
      </c>
      <c r="G31" s="1">
        <v>10</v>
      </c>
      <c r="H31" s="1">
        <v>40</v>
      </c>
    </row>
    <row r="32" spans="1:8" x14ac:dyDescent="0.2">
      <c r="A32" s="1" t="s">
        <v>112</v>
      </c>
      <c r="B32" s="1" t="s">
        <v>106</v>
      </c>
      <c r="C32" s="1" t="s">
        <v>113</v>
      </c>
      <c r="D32" s="1" t="s">
        <v>114</v>
      </c>
      <c r="E32" s="1" t="s">
        <v>12</v>
      </c>
      <c r="F32" s="1">
        <v>16</v>
      </c>
      <c r="G32" s="1">
        <v>18</v>
      </c>
      <c r="H32" s="1">
        <v>55</v>
      </c>
    </row>
    <row r="33" spans="1:8" x14ac:dyDescent="0.2">
      <c r="A33" s="1" t="s">
        <v>115</v>
      </c>
      <c r="B33" s="1" t="s">
        <v>106</v>
      </c>
      <c r="C33" s="1" t="s">
        <v>23</v>
      </c>
      <c r="D33" s="1" t="s">
        <v>116</v>
      </c>
      <c r="E33" s="1" t="s">
        <v>12</v>
      </c>
      <c r="F33" s="1">
        <v>18</v>
      </c>
      <c r="G33" s="1">
        <v>19</v>
      </c>
      <c r="H33" s="1">
        <v>58</v>
      </c>
    </row>
    <row r="34" spans="1:8" x14ac:dyDescent="0.2">
      <c r="A34" s="1" t="s">
        <v>117</v>
      </c>
      <c r="B34" s="1" t="s">
        <v>118</v>
      </c>
      <c r="C34" s="1" t="s">
        <v>119</v>
      </c>
      <c r="D34" s="1" t="s">
        <v>78</v>
      </c>
      <c r="E34" s="1" t="s">
        <v>21</v>
      </c>
      <c r="F34" s="1">
        <v>16</v>
      </c>
      <c r="G34" s="1">
        <v>18</v>
      </c>
      <c r="H34" s="1">
        <v>45</v>
      </c>
    </row>
    <row r="35" spans="1:8" x14ac:dyDescent="0.2">
      <c r="A35" s="1" t="s">
        <v>120</v>
      </c>
      <c r="B35" s="1" t="s">
        <v>106</v>
      </c>
      <c r="C35" s="1" t="s">
        <v>121</v>
      </c>
      <c r="D35" s="1" t="s">
        <v>122</v>
      </c>
      <c r="E35" s="1" t="s">
        <v>21</v>
      </c>
      <c r="F35" s="1">
        <v>16</v>
      </c>
      <c r="G35" s="1">
        <v>14</v>
      </c>
      <c r="H35" s="1">
        <v>45</v>
      </c>
    </row>
    <row r="36" spans="1:8" x14ac:dyDescent="0.2">
      <c r="A36" s="1" t="s">
        <v>123</v>
      </c>
      <c r="B36" s="1" t="s">
        <v>118</v>
      </c>
      <c r="C36" s="1" t="s">
        <v>124</v>
      </c>
      <c r="D36" s="1" t="s">
        <v>125</v>
      </c>
      <c r="E36" s="1" t="s">
        <v>12</v>
      </c>
      <c r="F36" s="1">
        <v>16</v>
      </c>
      <c r="G36" s="1">
        <v>18</v>
      </c>
      <c r="H36" s="1">
        <v>48</v>
      </c>
    </row>
    <row r="37" spans="1:8" x14ac:dyDescent="0.2">
      <c r="A37" s="1" t="s">
        <v>126</v>
      </c>
      <c r="B37" s="1" t="s">
        <v>118</v>
      </c>
      <c r="C37" s="1" t="s">
        <v>127</v>
      </c>
      <c r="D37" s="1" t="s">
        <v>128</v>
      </c>
      <c r="E37" s="1" t="s">
        <v>21</v>
      </c>
      <c r="F37" s="1">
        <v>17</v>
      </c>
      <c r="G37" s="1">
        <v>19</v>
      </c>
      <c r="H37" s="1">
        <v>52</v>
      </c>
    </row>
    <row r="38" spans="1:8" x14ac:dyDescent="0.2">
      <c r="A38" s="1" t="s">
        <v>129</v>
      </c>
      <c r="B38" s="1" t="s">
        <v>118</v>
      </c>
      <c r="C38" s="1" t="s">
        <v>77</v>
      </c>
      <c r="D38" s="1" t="s">
        <v>130</v>
      </c>
      <c r="E38" s="1" t="s">
        <v>21</v>
      </c>
      <c r="F38" s="1">
        <v>19</v>
      </c>
      <c r="G38" s="1">
        <v>20</v>
      </c>
      <c r="H38" s="1">
        <v>55</v>
      </c>
    </row>
    <row r="39" spans="1:8" x14ac:dyDescent="0.2">
      <c r="A39" s="1" t="s">
        <v>131</v>
      </c>
      <c r="B39" s="1" t="s">
        <v>132</v>
      </c>
      <c r="C39" s="1" t="s">
        <v>133</v>
      </c>
      <c r="D39" s="1" t="s">
        <v>134</v>
      </c>
      <c r="E39" s="1" t="s">
        <v>12</v>
      </c>
      <c r="F39" s="1">
        <v>15</v>
      </c>
      <c r="G39" s="1">
        <v>10</v>
      </c>
      <c r="H39" s="1">
        <v>35</v>
      </c>
    </row>
    <row r="40" spans="1:8" x14ac:dyDescent="0.2">
      <c r="A40" s="1" t="s">
        <v>135</v>
      </c>
      <c r="B40" s="1" t="s">
        <v>118</v>
      </c>
      <c r="C40" s="1" t="s">
        <v>136</v>
      </c>
      <c r="D40" s="1" t="s">
        <v>137</v>
      </c>
      <c r="E40" s="1" t="s">
        <v>12</v>
      </c>
      <c r="F40" s="1">
        <v>20</v>
      </c>
      <c r="G40" s="1">
        <v>20</v>
      </c>
      <c r="H40" s="1">
        <v>59</v>
      </c>
    </row>
    <row r="41" spans="1:8" x14ac:dyDescent="0.2">
      <c r="A41" s="1" t="s">
        <v>138</v>
      </c>
      <c r="B41" s="1" t="s">
        <v>132</v>
      </c>
      <c r="C41" s="1" t="s">
        <v>130</v>
      </c>
      <c r="D41" s="1" t="s">
        <v>139</v>
      </c>
      <c r="E41" s="1" t="s">
        <v>21</v>
      </c>
      <c r="F41" s="1">
        <v>6</v>
      </c>
      <c r="G41" s="1">
        <v>8</v>
      </c>
      <c r="H41" s="1">
        <v>42</v>
      </c>
    </row>
    <row r="42" spans="1:8" x14ac:dyDescent="0.2">
      <c r="A42" s="1" t="s">
        <v>140</v>
      </c>
      <c r="B42" s="1" t="s">
        <v>132</v>
      </c>
      <c r="C42" s="1" t="s">
        <v>141</v>
      </c>
      <c r="D42" s="1" t="s">
        <v>142</v>
      </c>
      <c r="E42" s="1" t="s">
        <v>12</v>
      </c>
      <c r="F42" s="1">
        <v>19</v>
      </c>
      <c r="G42" s="1">
        <v>7</v>
      </c>
      <c r="H42" s="1">
        <v>53</v>
      </c>
    </row>
    <row r="43" spans="1:8" x14ac:dyDescent="0.2">
      <c r="A43" s="1" t="s">
        <v>143</v>
      </c>
      <c r="B43" s="1" t="s">
        <v>132</v>
      </c>
      <c r="C43" s="1" t="s">
        <v>144</v>
      </c>
      <c r="D43" s="1" t="s">
        <v>145</v>
      </c>
      <c r="E43" s="1" t="s">
        <v>21</v>
      </c>
      <c r="F43" s="1">
        <v>3</v>
      </c>
      <c r="G43" s="1">
        <v>11</v>
      </c>
      <c r="H43" s="1">
        <v>28</v>
      </c>
    </row>
    <row r="44" spans="1:8" x14ac:dyDescent="0.2">
      <c r="A44" s="1" t="s">
        <v>146</v>
      </c>
      <c r="B44" s="1" t="s">
        <v>132</v>
      </c>
      <c r="C44" s="1" t="s">
        <v>147</v>
      </c>
      <c r="D44" s="1" t="s">
        <v>148</v>
      </c>
      <c r="E44" s="1" t="s">
        <v>17</v>
      </c>
      <c r="F44" s="1">
        <v>10</v>
      </c>
      <c r="G44" s="1">
        <v>4</v>
      </c>
      <c r="H44" s="1">
        <v>32</v>
      </c>
    </row>
    <row r="45" spans="1:8" x14ac:dyDescent="0.2">
      <c r="A45" s="1" t="s">
        <v>149</v>
      </c>
      <c r="B45" s="1" t="s">
        <v>150</v>
      </c>
      <c r="C45" s="1" t="s">
        <v>92</v>
      </c>
      <c r="D45" s="1" t="s">
        <v>151</v>
      </c>
      <c r="E45" s="1" t="s">
        <v>21</v>
      </c>
      <c r="F45" s="1">
        <v>10</v>
      </c>
      <c r="G45" s="1">
        <v>20</v>
      </c>
      <c r="H45" s="1">
        <v>45</v>
      </c>
    </row>
    <row r="46" spans="1:8" x14ac:dyDescent="0.2">
      <c r="A46" s="1" t="s">
        <v>152</v>
      </c>
      <c r="B46" s="1" t="s">
        <v>150</v>
      </c>
      <c r="C46" s="1" t="s">
        <v>153</v>
      </c>
      <c r="D46" s="1" t="s">
        <v>154</v>
      </c>
      <c r="E46" s="1" t="s">
        <v>12</v>
      </c>
      <c r="F46" s="1">
        <v>20</v>
      </c>
      <c r="G46" s="1">
        <v>17</v>
      </c>
      <c r="H46" s="1">
        <v>60</v>
      </c>
    </row>
    <row r="47" spans="1:8" x14ac:dyDescent="0.2">
      <c r="A47" s="1" t="s">
        <v>155</v>
      </c>
      <c r="B47" s="1" t="s">
        <v>150</v>
      </c>
      <c r="C47" s="1" t="s">
        <v>156</v>
      </c>
      <c r="D47" s="1" t="s">
        <v>157</v>
      </c>
      <c r="E47" s="1" t="s">
        <v>12</v>
      </c>
      <c r="F47" s="1">
        <v>14</v>
      </c>
      <c r="G47" s="1">
        <v>9</v>
      </c>
      <c r="H47" s="1">
        <v>25</v>
      </c>
    </row>
    <row r="48" spans="1:8" x14ac:dyDescent="0.2">
      <c r="A48" s="1" t="s">
        <v>158</v>
      </c>
      <c r="B48" s="1" t="s">
        <v>150</v>
      </c>
      <c r="C48" s="1" t="s">
        <v>159</v>
      </c>
      <c r="D48" s="1" t="s">
        <v>100</v>
      </c>
      <c r="E48" s="1" t="s">
        <v>21</v>
      </c>
      <c r="F48" s="1">
        <v>12</v>
      </c>
      <c r="G48" s="1">
        <v>15</v>
      </c>
      <c r="H48" s="1">
        <v>35</v>
      </c>
    </row>
    <row r="49" spans="1:8" x14ac:dyDescent="0.2">
      <c r="A49" s="1" t="s">
        <v>160</v>
      </c>
      <c r="B49" s="1" t="s">
        <v>150</v>
      </c>
      <c r="C49" s="1" t="s">
        <v>161</v>
      </c>
      <c r="D49" s="1" t="s">
        <v>162</v>
      </c>
      <c r="E49" s="1" t="s">
        <v>12</v>
      </c>
      <c r="F49" s="1">
        <v>18</v>
      </c>
      <c r="G49" s="1">
        <v>17</v>
      </c>
      <c r="H49" s="1">
        <v>59</v>
      </c>
    </row>
    <row r="50" spans="1:8" x14ac:dyDescent="0.2">
      <c r="A50" s="1" t="s">
        <v>163</v>
      </c>
      <c r="B50" s="1" t="s">
        <v>164</v>
      </c>
      <c r="C50" s="1" t="s">
        <v>165</v>
      </c>
      <c r="D50" s="1" t="s">
        <v>166</v>
      </c>
      <c r="E50" s="1" t="s">
        <v>21</v>
      </c>
      <c r="F50" s="1">
        <v>15</v>
      </c>
      <c r="G50" s="1">
        <v>18</v>
      </c>
      <c r="H50" s="1">
        <v>48</v>
      </c>
    </row>
    <row r="51" spans="1:8" x14ac:dyDescent="0.2">
      <c r="A51" s="1" t="s">
        <v>167</v>
      </c>
      <c r="B51" s="1" t="s">
        <v>164</v>
      </c>
      <c r="C51" s="1" t="s">
        <v>154</v>
      </c>
      <c r="D51" s="1" t="s">
        <v>168</v>
      </c>
      <c r="E51" s="1" t="s">
        <v>169</v>
      </c>
      <c r="F51" s="1">
        <v>10</v>
      </c>
      <c r="G51" s="1">
        <v>11</v>
      </c>
      <c r="H51" s="1">
        <v>35</v>
      </c>
    </row>
    <row r="52" spans="1:8" x14ac:dyDescent="0.2">
      <c r="A52" s="1" t="s">
        <v>170</v>
      </c>
      <c r="B52" s="1" t="s">
        <v>164</v>
      </c>
      <c r="C52" s="1" t="s">
        <v>171</v>
      </c>
      <c r="D52" s="1" t="s">
        <v>172</v>
      </c>
      <c r="E52" s="1" t="s">
        <v>12</v>
      </c>
      <c r="F52" s="1">
        <v>16</v>
      </c>
      <c r="G52" s="1">
        <v>19</v>
      </c>
      <c r="H52" s="1">
        <v>55</v>
      </c>
    </row>
    <row r="53" spans="1:8" x14ac:dyDescent="0.2">
      <c r="A53" s="1" t="s">
        <v>173</v>
      </c>
      <c r="B53" s="1" t="s">
        <v>164</v>
      </c>
      <c r="C53" s="1" t="s">
        <v>174</v>
      </c>
      <c r="D53" s="1" t="s">
        <v>175</v>
      </c>
      <c r="E53" s="1" t="s">
        <v>12</v>
      </c>
      <c r="F53" s="1">
        <v>8</v>
      </c>
      <c r="G53" s="1">
        <v>15</v>
      </c>
      <c r="H53" s="1">
        <v>40</v>
      </c>
    </row>
    <row r="54" spans="1:8" x14ac:dyDescent="0.2">
      <c r="A54" s="1" t="s">
        <v>176</v>
      </c>
      <c r="B54" s="1" t="s">
        <v>164</v>
      </c>
      <c r="C54" s="1" t="s">
        <v>177</v>
      </c>
      <c r="D54" s="1" t="s">
        <v>178</v>
      </c>
      <c r="E54" s="1" t="s">
        <v>12</v>
      </c>
      <c r="F54" s="1">
        <v>13</v>
      </c>
      <c r="G54" s="1">
        <v>18</v>
      </c>
      <c r="H54" s="1">
        <v>52</v>
      </c>
    </row>
    <row r="55" spans="1:8" x14ac:dyDescent="0.2">
      <c r="A55" s="1" t="s">
        <v>179</v>
      </c>
      <c r="B55" s="1" t="s">
        <v>180</v>
      </c>
      <c r="C55" s="1" t="s">
        <v>181</v>
      </c>
      <c r="D55" s="1" t="s">
        <v>182</v>
      </c>
      <c r="E55" s="1" t="s">
        <v>183</v>
      </c>
      <c r="F55" s="1">
        <v>20</v>
      </c>
      <c r="G55" s="1">
        <v>19</v>
      </c>
      <c r="H55" s="1">
        <v>58</v>
      </c>
    </row>
    <row r="56" spans="1:8" x14ac:dyDescent="0.2">
      <c r="A56" s="1" t="s">
        <v>184</v>
      </c>
      <c r="B56" s="1" t="s">
        <v>180</v>
      </c>
      <c r="C56" s="1" t="s">
        <v>185</v>
      </c>
      <c r="D56" s="1" t="s">
        <v>186</v>
      </c>
      <c r="E56" s="1" t="s">
        <v>17</v>
      </c>
      <c r="F56" s="1">
        <v>15</v>
      </c>
      <c r="G56" s="1">
        <v>10</v>
      </c>
      <c r="H56" s="1">
        <v>38</v>
      </c>
    </row>
    <row r="57" spans="1:8" x14ac:dyDescent="0.2">
      <c r="A57" s="1" t="s">
        <v>187</v>
      </c>
      <c r="B57" s="1" t="s">
        <v>180</v>
      </c>
      <c r="C57" s="1" t="s">
        <v>10</v>
      </c>
      <c r="D57" s="1" t="s">
        <v>74</v>
      </c>
      <c r="E57" s="1" t="s">
        <v>17</v>
      </c>
      <c r="F57" s="1">
        <v>5</v>
      </c>
      <c r="G57" s="1">
        <v>11</v>
      </c>
      <c r="H57" s="1">
        <v>27</v>
      </c>
    </row>
    <row r="58" spans="1:8" x14ac:dyDescent="0.2">
      <c r="A58" s="1" t="s">
        <v>188</v>
      </c>
      <c r="B58" s="1" t="s">
        <v>180</v>
      </c>
      <c r="C58" s="1" t="s">
        <v>91</v>
      </c>
      <c r="D58" s="1" t="s">
        <v>189</v>
      </c>
      <c r="E58" s="1" t="s">
        <v>12</v>
      </c>
      <c r="F58" s="1">
        <v>15</v>
      </c>
      <c r="G58" s="1">
        <v>18</v>
      </c>
      <c r="H58" s="1">
        <v>55</v>
      </c>
    </row>
    <row r="59" spans="1:8" x14ac:dyDescent="0.2">
      <c r="A59" s="1" t="s">
        <v>190</v>
      </c>
      <c r="B59" s="1" t="s">
        <v>180</v>
      </c>
      <c r="C59" s="1" t="s">
        <v>191</v>
      </c>
      <c r="D59" s="1" t="s">
        <v>192</v>
      </c>
      <c r="E59" s="1" t="s">
        <v>21</v>
      </c>
      <c r="F59" s="1">
        <v>11</v>
      </c>
      <c r="G59" s="1">
        <v>5</v>
      </c>
      <c r="H59" s="1">
        <v>22</v>
      </c>
    </row>
    <row r="60" spans="1:8" x14ac:dyDescent="0.2">
      <c r="A60" s="1" t="s">
        <v>193</v>
      </c>
      <c r="B60" s="1" t="s">
        <v>194</v>
      </c>
      <c r="C60" s="1" t="s">
        <v>195</v>
      </c>
      <c r="D60" s="1" t="s">
        <v>196</v>
      </c>
      <c r="E60" s="1" t="s">
        <v>21</v>
      </c>
      <c r="F60" s="1">
        <v>15</v>
      </c>
      <c r="G60" s="1">
        <v>18</v>
      </c>
      <c r="H60" s="1">
        <v>50</v>
      </c>
    </row>
    <row r="61" spans="1:8" x14ac:dyDescent="0.2">
      <c r="A61" s="1" t="s">
        <v>197</v>
      </c>
      <c r="B61" s="1" t="s">
        <v>194</v>
      </c>
      <c r="C61" s="1" t="s">
        <v>198</v>
      </c>
      <c r="D61" s="1" t="s">
        <v>154</v>
      </c>
      <c r="E61" s="1" t="s">
        <v>12</v>
      </c>
      <c r="F61" s="1">
        <v>17</v>
      </c>
      <c r="G61" s="1">
        <v>19</v>
      </c>
      <c r="H61" s="1">
        <v>53</v>
      </c>
    </row>
    <row r="62" spans="1:8" x14ac:dyDescent="0.2">
      <c r="A62" s="1" t="s">
        <v>199</v>
      </c>
      <c r="B62" s="1" t="s">
        <v>200</v>
      </c>
      <c r="C62" s="1" t="s">
        <v>201</v>
      </c>
      <c r="D62" s="1" t="s">
        <v>202</v>
      </c>
      <c r="E62" s="1" t="s">
        <v>21</v>
      </c>
      <c r="F62" s="1">
        <v>15</v>
      </c>
      <c r="G62" s="1">
        <v>18</v>
      </c>
      <c r="H62" s="1">
        <v>55</v>
      </c>
    </row>
    <row r="63" spans="1:8" x14ac:dyDescent="0.2">
      <c r="A63" s="1" t="s">
        <v>203</v>
      </c>
      <c r="B63" s="1" t="s">
        <v>194</v>
      </c>
      <c r="C63" s="1" t="s">
        <v>204</v>
      </c>
      <c r="D63" s="1" t="s">
        <v>205</v>
      </c>
      <c r="E63" s="1" t="s">
        <v>12</v>
      </c>
      <c r="F63" s="1">
        <v>12</v>
      </c>
      <c r="G63" s="1">
        <v>15</v>
      </c>
      <c r="H63" s="1">
        <v>49</v>
      </c>
    </row>
    <row r="64" spans="1:8" x14ac:dyDescent="0.2">
      <c r="A64" s="1" t="s">
        <v>206</v>
      </c>
      <c r="B64" s="1" t="s">
        <v>194</v>
      </c>
      <c r="C64" s="1" t="s">
        <v>207</v>
      </c>
      <c r="D64" s="1" t="s">
        <v>208</v>
      </c>
      <c r="E64" s="1" t="s">
        <v>21</v>
      </c>
      <c r="F64" s="1">
        <v>10</v>
      </c>
      <c r="G64" s="1">
        <v>14</v>
      </c>
      <c r="H64" s="1">
        <v>52</v>
      </c>
    </row>
    <row r="65" spans="1:8" x14ac:dyDescent="0.2">
      <c r="A65" s="1" t="s">
        <v>209</v>
      </c>
      <c r="B65" s="1" t="s">
        <v>194</v>
      </c>
      <c r="C65" s="1" t="s">
        <v>210</v>
      </c>
      <c r="D65" s="1" t="s">
        <v>211</v>
      </c>
      <c r="E65" s="1" t="s">
        <v>21</v>
      </c>
      <c r="F65" s="1">
        <v>19</v>
      </c>
      <c r="G65" s="1">
        <v>16</v>
      </c>
      <c r="H65" s="1">
        <v>51</v>
      </c>
    </row>
    <row r="66" spans="1:8" x14ac:dyDescent="0.2">
      <c r="A66" s="1" t="s">
        <v>212</v>
      </c>
      <c r="B66" s="1" t="s">
        <v>213</v>
      </c>
      <c r="C66" s="1" t="s">
        <v>214</v>
      </c>
      <c r="D66" s="1" t="s">
        <v>215</v>
      </c>
      <c r="E66" s="1" t="s">
        <v>35</v>
      </c>
      <c r="F66" s="1">
        <v>10</v>
      </c>
      <c r="G66" s="1">
        <v>12</v>
      </c>
      <c r="H66" s="1">
        <v>45</v>
      </c>
    </row>
    <row r="67" spans="1:8" x14ac:dyDescent="0.2">
      <c r="A67" s="1" t="s">
        <v>216</v>
      </c>
      <c r="B67" s="1" t="s">
        <v>213</v>
      </c>
      <c r="C67" s="1" t="s">
        <v>217</v>
      </c>
      <c r="D67" s="1" t="s">
        <v>218</v>
      </c>
      <c r="E67" s="1" t="s">
        <v>42</v>
      </c>
      <c r="F67" s="1">
        <v>15</v>
      </c>
      <c r="G67" s="1">
        <v>17</v>
      </c>
      <c r="H67" s="1">
        <v>50</v>
      </c>
    </row>
    <row r="68" spans="1:8" x14ac:dyDescent="0.2">
      <c r="A68" s="1" t="s">
        <v>219</v>
      </c>
      <c r="B68" s="1" t="s">
        <v>213</v>
      </c>
      <c r="C68" s="1" t="s">
        <v>220</v>
      </c>
      <c r="D68" s="1" t="s">
        <v>221</v>
      </c>
      <c r="E68" s="1" t="s">
        <v>35</v>
      </c>
      <c r="F68" s="1">
        <v>18</v>
      </c>
      <c r="G68" s="1">
        <v>20</v>
      </c>
      <c r="H68" s="1">
        <v>58</v>
      </c>
    </row>
    <row r="69" spans="1:8" x14ac:dyDescent="0.2">
      <c r="A69" s="1" t="s">
        <v>222</v>
      </c>
      <c r="B69" s="1" t="s">
        <v>213</v>
      </c>
      <c r="C69" s="1" t="s">
        <v>223</v>
      </c>
      <c r="D69" s="1" t="s">
        <v>224</v>
      </c>
      <c r="E69" s="1" t="s">
        <v>35</v>
      </c>
      <c r="F69" s="1">
        <v>17</v>
      </c>
      <c r="G69" s="1">
        <v>19</v>
      </c>
      <c r="H69" s="1">
        <v>55</v>
      </c>
    </row>
    <row r="70" spans="1:8" x14ac:dyDescent="0.2">
      <c r="A70" s="1" t="s">
        <v>225</v>
      </c>
      <c r="B70" s="1" t="s">
        <v>213</v>
      </c>
      <c r="C70" s="1" t="s">
        <v>226</v>
      </c>
      <c r="D70" s="1" t="s">
        <v>227</v>
      </c>
      <c r="E70" s="1" t="s">
        <v>42</v>
      </c>
      <c r="F70" s="1">
        <v>19</v>
      </c>
      <c r="G70" s="1">
        <v>20</v>
      </c>
      <c r="H70" s="1">
        <v>58</v>
      </c>
    </row>
    <row r="71" spans="1:8" x14ac:dyDescent="0.2">
      <c r="A71" s="1" t="s">
        <v>228</v>
      </c>
      <c r="B71" s="1" t="s">
        <v>229</v>
      </c>
      <c r="C71" s="1" t="s">
        <v>230</v>
      </c>
      <c r="D71" s="1" t="s">
        <v>231</v>
      </c>
      <c r="E71" s="1" t="s">
        <v>17</v>
      </c>
      <c r="F71" s="1">
        <v>15</v>
      </c>
      <c r="G71" s="1">
        <v>13</v>
      </c>
      <c r="H71" s="1">
        <v>30</v>
      </c>
    </row>
    <row r="72" spans="1:8" x14ac:dyDescent="0.2">
      <c r="A72" s="1" t="s">
        <v>232</v>
      </c>
      <c r="B72" s="1" t="s">
        <v>233</v>
      </c>
      <c r="C72" s="1" t="s">
        <v>234</v>
      </c>
      <c r="D72" s="1" t="s">
        <v>235</v>
      </c>
      <c r="E72" s="1" t="s">
        <v>21</v>
      </c>
      <c r="F72" s="1">
        <v>12</v>
      </c>
      <c r="G72" s="1">
        <v>9</v>
      </c>
      <c r="H72" s="1">
        <v>49</v>
      </c>
    </row>
    <row r="73" spans="1:8" x14ac:dyDescent="0.2">
      <c r="A73" s="1" t="s">
        <v>236</v>
      </c>
      <c r="B73" s="1" t="s">
        <v>233</v>
      </c>
      <c r="C73" s="1" t="s">
        <v>237</v>
      </c>
      <c r="D73" s="1" t="s">
        <v>238</v>
      </c>
      <c r="E73" s="1" t="s">
        <v>12</v>
      </c>
      <c r="F73" s="1">
        <v>19</v>
      </c>
      <c r="G73" s="1">
        <v>14</v>
      </c>
      <c r="H73" s="1">
        <v>43</v>
      </c>
    </row>
    <row r="74" spans="1:8" x14ac:dyDescent="0.2">
      <c r="A74" s="1" t="s">
        <v>239</v>
      </c>
      <c r="B74" s="1" t="s">
        <v>233</v>
      </c>
      <c r="C74" s="1" t="s">
        <v>240</v>
      </c>
      <c r="D74" s="1" t="s">
        <v>241</v>
      </c>
      <c r="E74" s="1" t="s">
        <v>21</v>
      </c>
      <c r="F74" s="1">
        <v>16</v>
      </c>
      <c r="G74" s="1">
        <v>19</v>
      </c>
      <c r="H74" s="1">
        <v>58</v>
      </c>
    </row>
    <row r="75" spans="1:8" x14ac:dyDescent="0.2">
      <c r="A75" s="1" t="s">
        <v>242</v>
      </c>
      <c r="B75" s="1" t="s">
        <v>233</v>
      </c>
      <c r="C75" s="1" t="s">
        <v>111</v>
      </c>
      <c r="D75" s="1" t="s">
        <v>243</v>
      </c>
      <c r="E75" s="1" t="s">
        <v>21</v>
      </c>
      <c r="F75" s="1">
        <v>10</v>
      </c>
      <c r="G75" s="1">
        <v>8</v>
      </c>
      <c r="H75" s="1">
        <v>39</v>
      </c>
    </row>
    <row r="76" spans="1:8" x14ac:dyDescent="0.2">
      <c r="A76" s="1" t="s">
        <v>244</v>
      </c>
      <c r="B76" s="1" t="s">
        <v>233</v>
      </c>
      <c r="C76" s="1" t="s">
        <v>245</v>
      </c>
      <c r="D76" s="1" t="s">
        <v>246</v>
      </c>
      <c r="E76" s="1" t="s">
        <v>21</v>
      </c>
      <c r="F76" s="1">
        <v>18</v>
      </c>
      <c r="G76" s="1">
        <v>17</v>
      </c>
      <c r="H76" s="1">
        <v>56</v>
      </c>
    </row>
    <row r="77" spans="1:8" x14ac:dyDescent="0.2">
      <c r="A77" s="1" t="s">
        <v>247</v>
      </c>
      <c r="B77" s="1" t="s">
        <v>248</v>
      </c>
      <c r="C77" s="1" t="s">
        <v>249</v>
      </c>
      <c r="D77" s="1" t="s">
        <v>250</v>
      </c>
      <c r="E77" s="1" t="s">
        <v>35</v>
      </c>
      <c r="F77" s="1" t="s">
        <v>251</v>
      </c>
      <c r="G77" s="1">
        <v>18</v>
      </c>
      <c r="H77" s="1" t="s">
        <v>251</v>
      </c>
    </row>
    <row r="78" spans="1:8" x14ac:dyDescent="0.2">
      <c r="A78" s="1" t="s">
        <v>252</v>
      </c>
      <c r="B78" s="1" t="s">
        <v>248</v>
      </c>
      <c r="C78" s="1" t="s">
        <v>249</v>
      </c>
      <c r="D78" s="1" t="s">
        <v>250</v>
      </c>
      <c r="E78" s="1" t="s">
        <v>35</v>
      </c>
      <c r="F78" s="1">
        <v>16</v>
      </c>
      <c r="G78" s="1">
        <v>18</v>
      </c>
      <c r="H78" s="1" t="s">
        <v>251</v>
      </c>
    </row>
    <row r="79" spans="1:8" x14ac:dyDescent="0.2">
      <c r="A79" s="1" t="s">
        <v>253</v>
      </c>
      <c r="B79" s="1" t="s">
        <v>254</v>
      </c>
      <c r="C79" s="1" t="s">
        <v>255</v>
      </c>
      <c r="D79" s="1" t="s">
        <v>256</v>
      </c>
      <c r="E79" s="1" t="s">
        <v>53</v>
      </c>
      <c r="F79" s="1">
        <v>18</v>
      </c>
      <c r="G79" s="1">
        <v>20</v>
      </c>
      <c r="H79" s="1">
        <v>45</v>
      </c>
    </row>
    <row r="80" spans="1:8" x14ac:dyDescent="0.2">
      <c r="A80" s="1" t="s">
        <v>257</v>
      </c>
      <c r="B80" s="1" t="s">
        <v>258</v>
      </c>
      <c r="C80" s="1" t="s">
        <v>259</v>
      </c>
      <c r="D80" s="1" t="s">
        <v>260</v>
      </c>
      <c r="E80" s="1" t="s">
        <v>12</v>
      </c>
      <c r="F80" s="1">
        <v>18</v>
      </c>
      <c r="G80" s="1">
        <v>20</v>
      </c>
      <c r="H80" s="1">
        <v>55</v>
      </c>
    </row>
    <row r="81" spans="1:8" x14ac:dyDescent="0.2">
      <c r="A81" s="1" t="s">
        <v>261</v>
      </c>
      <c r="B81" s="1" t="s">
        <v>254</v>
      </c>
      <c r="C81" s="1" t="s">
        <v>262</v>
      </c>
      <c r="D81" s="1" t="s">
        <v>256</v>
      </c>
      <c r="E81" s="1" t="s">
        <v>21</v>
      </c>
      <c r="F81" s="1">
        <v>18</v>
      </c>
      <c r="G81" s="1">
        <v>20</v>
      </c>
      <c r="H81" s="1">
        <v>45</v>
      </c>
    </row>
    <row r="82" spans="1:8" x14ac:dyDescent="0.2">
      <c r="A82" s="1" t="s">
        <v>263</v>
      </c>
      <c r="B82" s="1" t="s">
        <v>258</v>
      </c>
      <c r="C82" s="1" t="s">
        <v>264</v>
      </c>
      <c r="D82" s="1" t="s">
        <v>265</v>
      </c>
      <c r="E82" s="1" t="s">
        <v>21</v>
      </c>
      <c r="F82" s="1">
        <v>12</v>
      </c>
      <c r="G82" s="1">
        <v>17</v>
      </c>
      <c r="H82" s="1">
        <v>47</v>
      </c>
    </row>
    <row r="83" spans="1:8" x14ac:dyDescent="0.2">
      <c r="A83" s="1" t="s">
        <v>266</v>
      </c>
      <c r="B83" s="1" t="s">
        <v>254</v>
      </c>
      <c r="C83" s="1" t="s">
        <v>267</v>
      </c>
      <c r="D83" s="1" t="s">
        <v>268</v>
      </c>
      <c r="E83" s="1" t="s">
        <v>21</v>
      </c>
      <c r="F83" s="1">
        <v>20</v>
      </c>
      <c r="G83" s="1">
        <v>20</v>
      </c>
      <c r="H83" s="1">
        <v>55</v>
      </c>
    </row>
    <row r="84" spans="1:8" x14ac:dyDescent="0.2">
      <c r="A84" s="1" t="s">
        <v>269</v>
      </c>
      <c r="B84" s="1" t="s">
        <v>258</v>
      </c>
      <c r="C84" s="1" t="s">
        <v>270</v>
      </c>
      <c r="D84" s="1" t="s">
        <v>271</v>
      </c>
      <c r="E84" s="1" t="s">
        <v>21</v>
      </c>
      <c r="F84" s="1">
        <v>20</v>
      </c>
      <c r="G84" s="1">
        <v>20</v>
      </c>
      <c r="H84" s="1">
        <v>58</v>
      </c>
    </row>
    <row r="85" spans="1:8" x14ac:dyDescent="0.2">
      <c r="A85" s="1" t="s">
        <v>272</v>
      </c>
      <c r="B85" s="1" t="s">
        <v>258</v>
      </c>
      <c r="C85" s="1" t="s">
        <v>273</v>
      </c>
      <c r="D85" s="1" t="s">
        <v>107</v>
      </c>
      <c r="E85" s="1" t="s">
        <v>12</v>
      </c>
      <c r="F85" s="1">
        <v>14</v>
      </c>
      <c r="G85" s="1">
        <v>16</v>
      </c>
      <c r="H85" s="1">
        <v>50</v>
      </c>
    </row>
    <row r="86" spans="1:8" x14ac:dyDescent="0.2">
      <c r="A86" s="1" t="s">
        <v>274</v>
      </c>
      <c r="B86" s="1" t="s">
        <v>258</v>
      </c>
      <c r="C86" s="1" t="s">
        <v>275</v>
      </c>
      <c r="D86" s="1" t="s">
        <v>276</v>
      </c>
      <c r="E86" s="1" t="s">
        <v>12</v>
      </c>
      <c r="F86" s="1">
        <v>15</v>
      </c>
      <c r="G86" s="1">
        <v>10</v>
      </c>
      <c r="H86" s="1">
        <v>39</v>
      </c>
    </row>
    <row r="87" spans="1:8" x14ac:dyDescent="0.2">
      <c r="A87" s="1" t="s">
        <v>277</v>
      </c>
      <c r="B87" s="1" t="s">
        <v>254</v>
      </c>
      <c r="C87" s="1" t="s">
        <v>278</v>
      </c>
      <c r="D87" s="1" t="s">
        <v>279</v>
      </c>
      <c r="E87" s="1" t="s">
        <v>12</v>
      </c>
      <c r="F87" s="1">
        <v>15</v>
      </c>
      <c r="G87" s="1">
        <v>17</v>
      </c>
      <c r="H87" s="1">
        <v>60</v>
      </c>
    </row>
    <row r="88" spans="1:8" x14ac:dyDescent="0.2">
      <c r="A88" s="1" t="s">
        <v>280</v>
      </c>
      <c r="B88" s="1" t="s">
        <v>281</v>
      </c>
      <c r="C88" s="1" t="s">
        <v>282</v>
      </c>
      <c r="D88" s="1" t="s">
        <v>283</v>
      </c>
      <c r="E88" s="1" t="s">
        <v>12</v>
      </c>
      <c r="F88" s="1">
        <v>18</v>
      </c>
      <c r="G88" s="1">
        <v>15</v>
      </c>
      <c r="H88" s="1">
        <v>59</v>
      </c>
    </row>
    <row r="89" spans="1:8" x14ac:dyDescent="0.2">
      <c r="A89" s="1" t="s">
        <v>284</v>
      </c>
      <c r="B89" s="1" t="s">
        <v>254</v>
      </c>
      <c r="C89" s="1" t="s">
        <v>171</v>
      </c>
      <c r="D89" s="1" t="s">
        <v>285</v>
      </c>
      <c r="E89" s="1" t="s">
        <v>12</v>
      </c>
      <c r="F89" s="1">
        <v>13</v>
      </c>
      <c r="G89" s="1">
        <v>10</v>
      </c>
      <c r="H89" s="1">
        <v>35</v>
      </c>
    </row>
    <row r="90" spans="1:8" x14ac:dyDescent="0.2">
      <c r="A90" s="1" t="s">
        <v>286</v>
      </c>
      <c r="B90" s="1" t="s">
        <v>254</v>
      </c>
      <c r="C90" s="1" t="s">
        <v>287</v>
      </c>
      <c r="D90" s="1" t="s">
        <v>288</v>
      </c>
      <c r="E90" s="1" t="s">
        <v>17</v>
      </c>
      <c r="F90" s="1">
        <v>10</v>
      </c>
      <c r="G90" s="1">
        <v>15</v>
      </c>
      <c r="H90" s="1">
        <v>60</v>
      </c>
    </row>
    <row r="91" spans="1:8" x14ac:dyDescent="0.2">
      <c r="A91" s="1" t="s">
        <v>289</v>
      </c>
      <c r="B91" s="1" t="s">
        <v>258</v>
      </c>
      <c r="C91" s="1" t="s">
        <v>259</v>
      </c>
      <c r="D91" s="1" t="s">
        <v>260</v>
      </c>
      <c r="E91" s="1" t="s">
        <v>17</v>
      </c>
      <c r="F91" s="1">
        <v>18</v>
      </c>
      <c r="G91" s="1">
        <v>20</v>
      </c>
      <c r="H91" s="1">
        <v>55</v>
      </c>
    </row>
    <row r="92" spans="1:8" x14ac:dyDescent="0.2">
      <c r="A92" s="1" t="s">
        <v>290</v>
      </c>
      <c r="B92" s="1" t="s">
        <v>258</v>
      </c>
      <c r="C92" s="1" t="s">
        <v>264</v>
      </c>
      <c r="D92" s="1" t="s">
        <v>265</v>
      </c>
      <c r="E92" s="1" t="s">
        <v>21</v>
      </c>
      <c r="F92" s="1">
        <v>12</v>
      </c>
      <c r="G92" s="1">
        <v>17</v>
      </c>
      <c r="H92" s="1">
        <v>47</v>
      </c>
    </row>
    <row r="93" spans="1:8" x14ac:dyDescent="0.2">
      <c r="A93" s="1" t="s">
        <v>291</v>
      </c>
      <c r="B93" s="1" t="s">
        <v>258</v>
      </c>
      <c r="C93" s="1" t="s">
        <v>292</v>
      </c>
      <c r="D93" s="1" t="s">
        <v>260</v>
      </c>
      <c r="E93" s="1" t="s">
        <v>12</v>
      </c>
      <c r="F93" s="1">
        <v>18</v>
      </c>
      <c r="G93" s="1">
        <v>20</v>
      </c>
      <c r="H93" s="1">
        <v>55</v>
      </c>
    </row>
    <row r="94" spans="1:8" x14ac:dyDescent="0.2">
      <c r="A94" s="1" t="s">
        <v>293</v>
      </c>
      <c r="B94" s="1" t="s">
        <v>258</v>
      </c>
      <c r="C94" s="1" t="s">
        <v>264</v>
      </c>
      <c r="D94" s="1" t="s">
        <v>265</v>
      </c>
      <c r="E94" s="1" t="s">
        <v>21</v>
      </c>
      <c r="F94" s="1">
        <v>12</v>
      </c>
      <c r="G94" s="1">
        <v>17</v>
      </c>
      <c r="H94" s="1">
        <v>47</v>
      </c>
    </row>
    <row r="95" spans="1:8" x14ac:dyDescent="0.2">
      <c r="A95" s="1" t="s">
        <v>294</v>
      </c>
      <c r="B95" s="1" t="s">
        <v>258</v>
      </c>
      <c r="C95" s="1" t="s">
        <v>270</v>
      </c>
      <c r="D95" s="1" t="s">
        <v>271</v>
      </c>
      <c r="E95" s="1" t="s">
        <v>21</v>
      </c>
      <c r="F95" s="1">
        <v>20</v>
      </c>
      <c r="G95" s="1">
        <v>20</v>
      </c>
      <c r="H95" s="1">
        <v>58</v>
      </c>
    </row>
    <row r="96" spans="1:8" x14ac:dyDescent="0.2">
      <c r="A96" s="1" t="s">
        <v>295</v>
      </c>
      <c r="B96" s="1" t="s">
        <v>296</v>
      </c>
      <c r="C96" s="1" t="s">
        <v>297</v>
      </c>
      <c r="D96" s="1" t="s">
        <v>298</v>
      </c>
      <c r="E96" s="1" t="s">
        <v>21</v>
      </c>
      <c r="F96" s="1">
        <v>18</v>
      </c>
      <c r="G96" s="1">
        <v>16</v>
      </c>
      <c r="H96" s="1">
        <v>55</v>
      </c>
    </row>
    <row r="97" spans="1:8" x14ac:dyDescent="0.2">
      <c r="A97" s="1" t="s">
        <v>299</v>
      </c>
      <c r="B97" s="1" t="s">
        <v>258</v>
      </c>
      <c r="C97" s="1" t="s">
        <v>273</v>
      </c>
      <c r="D97" s="1" t="s">
        <v>107</v>
      </c>
      <c r="E97" s="1" t="s">
        <v>17</v>
      </c>
      <c r="F97" s="1">
        <v>14</v>
      </c>
      <c r="G97" s="1">
        <v>16</v>
      </c>
      <c r="H97" s="1">
        <v>50</v>
      </c>
    </row>
    <row r="98" spans="1:8" x14ac:dyDescent="0.2">
      <c r="A98" s="1" t="s">
        <v>300</v>
      </c>
      <c r="B98" s="1" t="s">
        <v>258</v>
      </c>
      <c r="C98" s="1" t="s">
        <v>275</v>
      </c>
      <c r="D98" s="1" t="s">
        <v>276</v>
      </c>
      <c r="E98" s="1" t="s">
        <v>12</v>
      </c>
      <c r="F98" s="1">
        <v>15</v>
      </c>
      <c r="G98" s="1">
        <v>10</v>
      </c>
      <c r="H98" s="1">
        <v>39</v>
      </c>
    </row>
    <row r="99" spans="1:8" x14ac:dyDescent="0.2">
      <c r="A99" s="1" t="s">
        <v>301</v>
      </c>
      <c r="B99" s="1" t="s">
        <v>296</v>
      </c>
      <c r="C99" s="1" t="s">
        <v>302</v>
      </c>
      <c r="D99" s="1" t="s">
        <v>303</v>
      </c>
      <c r="E99" s="1" t="s">
        <v>42</v>
      </c>
      <c r="F99" s="1">
        <v>15</v>
      </c>
      <c r="G99" s="1">
        <v>18</v>
      </c>
      <c r="H99" s="1">
        <v>58</v>
      </c>
    </row>
    <row r="100" spans="1:8" x14ac:dyDescent="0.2">
      <c r="A100" s="1" t="s">
        <v>304</v>
      </c>
      <c r="B100" s="1" t="s">
        <v>296</v>
      </c>
      <c r="C100" s="1" t="s">
        <v>305</v>
      </c>
      <c r="D100" s="1" t="s">
        <v>306</v>
      </c>
      <c r="E100" s="1" t="s">
        <v>12</v>
      </c>
      <c r="F100" s="1">
        <v>17</v>
      </c>
      <c r="G100" s="1">
        <v>14</v>
      </c>
      <c r="H100" s="1">
        <v>52</v>
      </c>
    </row>
    <row r="101" spans="1:8" x14ac:dyDescent="0.2">
      <c r="A101" s="1" t="s">
        <v>307</v>
      </c>
      <c r="B101" s="1" t="s">
        <v>296</v>
      </c>
      <c r="C101" s="1" t="s">
        <v>308</v>
      </c>
      <c r="D101" s="1" t="s">
        <v>309</v>
      </c>
      <c r="E101" s="1" t="s">
        <v>35</v>
      </c>
      <c r="F101" s="1">
        <v>15</v>
      </c>
      <c r="G101" s="1">
        <v>18</v>
      </c>
      <c r="H101" s="1">
        <v>45</v>
      </c>
    </row>
    <row r="102" spans="1:8" x14ac:dyDescent="0.2">
      <c r="A102" s="1" t="s">
        <v>310</v>
      </c>
      <c r="B102" s="1" t="s">
        <v>296</v>
      </c>
      <c r="C102" s="1" t="s">
        <v>311</v>
      </c>
      <c r="D102" s="1" t="s">
        <v>312</v>
      </c>
      <c r="E102" s="1" t="s">
        <v>35</v>
      </c>
      <c r="F102" s="1">
        <v>19</v>
      </c>
      <c r="G102" s="1">
        <v>17</v>
      </c>
      <c r="H102" s="1">
        <v>50</v>
      </c>
    </row>
    <row r="103" spans="1:8" x14ac:dyDescent="0.2">
      <c r="A103" s="1" t="s">
        <v>313</v>
      </c>
      <c r="B103" s="1" t="s">
        <v>314</v>
      </c>
      <c r="C103" s="1" t="s">
        <v>315</v>
      </c>
      <c r="D103" s="1" t="s">
        <v>316</v>
      </c>
      <c r="E103" s="1" t="s">
        <v>17</v>
      </c>
      <c r="F103" s="1">
        <v>18</v>
      </c>
      <c r="G103" s="1">
        <v>15</v>
      </c>
      <c r="H103" s="1">
        <v>55</v>
      </c>
    </row>
    <row r="104" spans="1:8" x14ac:dyDescent="0.2">
      <c r="A104" s="1" t="s">
        <v>317</v>
      </c>
      <c r="B104" s="1" t="s">
        <v>314</v>
      </c>
      <c r="C104" s="1" t="s">
        <v>318</v>
      </c>
      <c r="D104" s="1" t="s">
        <v>319</v>
      </c>
      <c r="E104" s="1" t="s">
        <v>17</v>
      </c>
      <c r="F104" s="1">
        <v>10</v>
      </c>
      <c r="G104" s="1">
        <v>15</v>
      </c>
      <c r="H104" s="1">
        <v>40</v>
      </c>
    </row>
    <row r="105" spans="1:8" x14ac:dyDescent="0.2">
      <c r="A105" s="1" t="s">
        <v>320</v>
      </c>
      <c r="B105" s="1" t="s">
        <v>314</v>
      </c>
      <c r="C105" s="1" t="s">
        <v>321</v>
      </c>
      <c r="D105" s="1" t="s">
        <v>322</v>
      </c>
      <c r="E105" s="1" t="s">
        <v>323</v>
      </c>
      <c r="F105" s="1">
        <v>15</v>
      </c>
      <c r="G105" s="1">
        <v>20</v>
      </c>
      <c r="H105" s="1">
        <v>46</v>
      </c>
    </row>
    <row r="106" spans="1:8" x14ac:dyDescent="0.2">
      <c r="A106" s="1" t="s">
        <v>324</v>
      </c>
      <c r="B106" s="1" t="s">
        <v>314</v>
      </c>
      <c r="C106" s="1" t="s">
        <v>325</v>
      </c>
      <c r="D106" s="1" t="s">
        <v>234</v>
      </c>
      <c r="E106" s="1" t="s">
        <v>53</v>
      </c>
      <c r="F106" s="1">
        <v>12</v>
      </c>
      <c r="G106" s="1">
        <v>16</v>
      </c>
      <c r="H106" s="1">
        <v>50</v>
      </c>
    </row>
    <row r="107" spans="1:8" x14ac:dyDescent="0.2">
      <c r="A107" s="1" t="s">
        <v>326</v>
      </c>
      <c r="B107" s="1" t="s">
        <v>314</v>
      </c>
      <c r="C107" s="1" t="s">
        <v>327</v>
      </c>
      <c r="D107" s="1" t="s">
        <v>316</v>
      </c>
      <c r="E107" s="1" t="s">
        <v>17</v>
      </c>
      <c r="F107" s="1">
        <v>19</v>
      </c>
      <c r="G107" s="1">
        <v>20</v>
      </c>
      <c r="H107" s="1">
        <v>58</v>
      </c>
    </row>
    <row r="108" spans="1:8" x14ac:dyDescent="0.2">
      <c r="A108" s="1" t="s">
        <v>328</v>
      </c>
      <c r="B108" s="1" t="s">
        <v>329</v>
      </c>
      <c r="C108" s="1" t="s">
        <v>330</v>
      </c>
      <c r="D108" s="1" t="s">
        <v>331</v>
      </c>
      <c r="E108" s="1" t="s">
        <v>21</v>
      </c>
      <c r="F108" s="1">
        <v>19</v>
      </c>
      <c r="G108" s="1">
        <v>20</v>
      </c>
      <c r="H108" s="1">
        <v>55</v>
      </c>
    </row>
    <row r="109" spans="1:8" x14ac:dyDescent="0.2">
      <c r="A109" s="1" t="s">
        <v>332</v>
      </c>
      <c r="B109" s="1" t="s">
        <v>329</v>
      </c>
      <c r="C109" s="1" t="s">
        <v>333</v>
      </c>
      <c r="D109" s="1" t="s">
        <v>108</v>
      </c>
      <c r="E109" s="1" t="s">
        <v>12</v>
      </c>
      <c r="F109" s="1">
        <v>15</v>
      </c>
      <c r="G109" s="1">
        <v>12</v>
      </c>
      <c r="H109" s="1">
        <v>49</v>
      </c>
    </row>
    <row r="110" spans="1:8" x14ac:dyDescent="0.2">
      <c r="A110" s="1" t="s">
        <v>334</v>
      </c>
      <c r="B110" s="1" t="s">
        <v>329</v>
      </c>
      <c r="C110" s="1" t="s">
        <v>273</v>
      </c>
      <c r="D110" s="1" t="s">
        <v>335</v>
      </c>
      <c r="E110" s="1" t="s">
        <v>12</v>
      </c>
      <c r="F110" s="1">
        <v>10</v>
      </c>
      <c r="G110" s="1">
        <v>9</v>
      </c>
      <c r="H110" s="1">
        <v>30</v>
      </c>
    </row>
    <row r="111" spans="1:8" x14ac:dyDescent="0.2">
      <c r="A111" s="1" t="s">
        <v>336</v>
      </c>
      <c r="B111" s="1" t="s">
        <v>329</v>
      </c>
      <c r="C111" s="1" t="s">
        <v>337</v>
      </c>
      <c r="D111" s="1" t="s">
        <v>111</v>
      </c>
      <c r="E111" s="1" t="s">
        <v>21</v>
      </c>
      <c r="F111" s="1">
        <v>13</v>
      </c>
      <c r="G111" s="1">
        <v>15</v>
      </c>
      <c r="H111" s="1">
        <v>50</v>
      </c>
    </row>
    <row r="112" spans="1:8" x14ac:dyDescent="0.2">
      <c r="A112" s="1" t="s">
        <v>338</v>
      </c>
      <c r="B112" s="1" t="s">
        <v>329</v>
      </c>
      <c r="C112" s="1" t="s">
        <v>339</v>
      </c>
      <c r="D112" s="1" t="s">
        <v>340</v>
      </c>
      <c r="E112" s="1" t="s">
        <v>21</v>
      </c>
      <c r="F112" s="1">
        <v>6</v>
      </c>
      <c r="G112" s="1">
        <v>11</v>
      </c>
      <c r="H112" s="1">
        <v>27</v>
      </c>
    </row>
    <row r="113" spans="1:8" x14ac:dyDescent="0.2">
      <c r="A113" s="1" t="s">
        <v>341</v>
      </c>
      <c r="B113" s="1" t="s">
        <v>229</v>
      </c>
      <c r="C113" s="1" t="s">
        <v>342</v>
      </c>
      <c r="D113" s="1" t="s">
        <v>343</v>
      </c>
      <c r="E113" s="1" t="s">
        <v>21</v>
      </c>
      <c r="F113" s="1">
        <v>18</v>
      </c>
      <c r="G113" s="1">
        <v>14</v>
      </c>
      <c r="H113" s="1">
        <v>50</v>
      </c>
    </row>
    <row r="114" spans="1:8" x14ac:dyDescent="0.2">
      <c r="A114" s="1" t="s">
        <v>344</v>
      </c>
      <c r="B114" s="1" t="s">
        <v>229</v>
      </c>
      <c r="C114" s="1" t="s">
        <v>345</v>
      </c>
      <c r="D114" s="1" t="s">
        <v>346</v>
      </c>
      <c r="E114" s="1" t="s">
        <v>21</v>
      </c>
      <c r="F114" s="1">
        <v>10</v>
      </c>
      <c r="G114" s="1">
        <v>19</v>
      </c>
      <c r="H114" s="1">
        <v>55</v>
      </c>
    </row>
    <row r="115" spans="1:8" x14ac:dyDescent="0.2">
      <c r="A115" s="1" t="s">
        <v>347</v>
      </c>
      <c r="B115" s="1" t="s">
        <v>229</v>
      </c>
      <c r="C115" s="1" t="s">
        <v>171</v>
      </c>
      <c r="D115" s="1" t="s">
        <v>348</v>
      </c>
      <c r="E115" s="1" t="s">
        <v>12</v>
      </c>
      <c r="F115" s="1">
        <v>12</v>
      </c>
      <c r="G115" s="1">
        <v>12</v>
      </c>
      <c r="H115" s="1">
        <v>38</v>
      </c>
    </row>
    <row r="116" spans="1:8" x14ac:dyDescent="0.2">
      <c r="A116" s="1" t="s">
        <v>349</v>
      </c>
      <c r="B116" s="1" t="s">
        <v>229</v>
      </c>
      <c r="C116" s="1" t="s">
        <v>350</v>
      </c>
      <c r="D116" s="1" t="s">
        <v>351</v>
      </c>
      <c r="E116" s="1" t="s">
        <v>21</v>
      </c>
      <c r="F116" s="1">
        <v>14</v>
      </c>
      <c r="G116" s="1">
        <v>17</v>
      </c>
      <c r="H116" s="1">
        <v>40</v>
      </c>
    </row>
    <row r="117" spans="1:8" x14ac:dyDescent="0.2">
      <c r="A117" s="1" t="s">
        <v>352</v>
      </c>
      <c r="B117" s="1" t="s">
        <v>229</v>
      </c>
      <c r="C117" s="1" t="s">
        <v>353</v>
      </c>
      <c r="D117" s="1" t="s">
        <v>52</v>
      </c>
      <c r="E117" s="1" t="s">
        <v>12</v>
      </c>
      <c r="F117" s="1">
        <v>20</v>
      </c>
      <c r="G117" s="1">
        <v>18</v>
      </c>
      <c r="H117" s="1">
        <v>60</v>
      </c>
    </row>
    <row r="118" spans="1:8" x14ac:dyDescent="0.2">
      <c r="A118" s="1" t="s">
        <v>354</v>
      </c>
      <c r="B118" s="1" t="s">
        <v>355</v>
      </c>
      <c r="C118" s="1" t="s">
        <v>154</v>
      </c>
      <c r="D118" s="1" t="s">
        <v>356</v>
      </c>
      <c r="E118" s="1" t="s">
        <v>17</v>
      </c>
      <c r="F118" s="1">
        <v>12</v>
      </c>
      <c r="G118" s="1">
        <v>14</v>
      </c>
      <c r="H118" s="1">
        <v>43</v>
      </c>
    </row>
    <row r="119" spans="1:8" x14ac:dyDescent="0.2">
      <c r="A119" s="1" t="s">
        <v>357</v>
      </c>
      <c r="B119" s="1" t="s">
        <v>355</v>
      </c>
      <c r="C119" s="1" t="s">
        <v>358</v>
      </c>
      <c r="D119" s="1" t="s">
        <v>359</v>
      </c>
      <c r="E119" s="1" t="s">
        <v>21</v>
      </c>
      <c r="F119" s="1">
        <v>16</v>
      </c>
      <c r="G119" s="1">
        <v>11</v>
      </c>
      <c r="H119" s="1">
        <v>51</v>
      </c>
    </row>
    <row r="120" spans="1:8" x14ac:dyDescent="0.2">
      <c r="A120" s="1" t="s">
        <v>360</v>
      </c>
      <c r="B120" s="1" t="s">
        <v>361</v>
      </c>
      <c r="C120" s="1" t="s">
        <v>362</v>
      </c>
      <c r="D120" s="1" t="s">
        <v>363</v>
      </c>
      <c r="E120" s="1" t="s">
        <v>53</v>
      </c>
      <c r="F120" s="1">
        <v>15</v>
      </c>
      <c r="G120" s="1">
        <v>15</v>
      </c>
      <c r="H120" s="1">
        <v>45</v>
      </c>
    </row>
    <row r="121" spans="1:8" x14ac:dyDescent="0.2">
      <c r="A121" s="1" t="s">
        <v>364</v>
      </c>
      <c r="B121" s="1" t="s">
        <v>361</v>
      </c>
      <c r="C121" s="1" t="s">
        <v>365</v>
      </c>
      <c r="D121" s="1" t="s">
        <v>366</v>
      </c>
      <c r="E121" s="1" t="s">
        <v>21</v>
      </c>
      <c r="F121" s="1">
        <v>20</v>
      </c>
      <c r="G121" s="1">
        <v>10</v>
      </c>
      <c r="H121" s="1">
        <v>50</v>
      </c>
    </row>
    <row r="122" spans="1:8" x14ac:dyDescent="0.2">
      <c r="A122" s="1" t="s">
        <v>367</v>
      </c>
      <c r="B122" s="1" t="s">
        <v>361</v>
      </c>
      <c r="C122" s="1" t="s">
        <v>368</v>
      </c>
      <c r="D122" s="1" t="s">
        <v>369</v>
      </c>
      <c r="E122" s="1" t="s">
        <v>12</v>
      </c>
      <c r="F122" s="1">
        <v>17</v>
      </c>
      <c r="G122" s="1">
        <v>18</v>
      </c>
      <c r="H122" s="1">
        <v>49</v>
      </c>
    </row>
    <row r="123" spans="1:8" x14ac:dyDescent="0.2">
      <c r="A123" s="1" t="s">
        <v>370</v>
      </c>
      <c r="B123" s="1" t="s">
        <v>361</v>
      </c>
      <c r="C123" s="1" t="s">
        <v>371</v>
      </c>
      <c r="D123" s="1" t="s">
        <v>372</v>
      </c>
      <c r="E123" s="1" t="s">
        <v>12</v>
      </c>
      <c r="F123" s="1">
        <v>16</v>
      </c>
      <c r="G123" s="1">
        <v>19</v>
      </c>
      <c r="H123" s="1">
        <v>53</v>
      </c>
    </row>
    <row r="124" spans="1:8" x14ac:dyDescent="0.2">
      <c r="A124" s="1" t="s">
        <v>373</v>
      </c>
      <c r="B124" s="1" t="s">
        <v>361</v>
      </c>
      <c r="C124" s="1" t="s">
        <v>374</v>
      </c>
      <c r="D124" s="1" t="s">
        <v>159</v>
      </c>
      <c r="E124" s="1" t="s">
        <v>12</v>
      </c>
      <c r="F124" s="1">
        <v>12</v>
      </c>
      <c r="G124" s="1">
        <v>12</v>
      </c>
      <c r="H124" s="1">
        <v>45</v>
      </c>
    </row>
    <row r="125" spans="1:8" x14ac:dyDescent="0.2">
      <c r="A125" s="1" t="s">
        <v>375</v>
      </c>
      <c r="B125" s="1" t="s">
        <v>376</v>
      </c>
      <c r="C125" s="1" t="s">
        <v>377</v>
      </c>
      <c r="D125" s="1" t="s">
        <v>378</v>
      </c>
      <c r="E125" s="1" t="s">
        <v>12</v>
      </c>
      <c r="F125" s="1">
        <v>19</v>
      </c>
      <c r="G125" s="1">
        <v>20</v>
      </c>
      <c r="H125" s="1">
        <v>57</v>
      </c>
    </row>
    <row r="126" spans="1:8" x14ac:dyDescent="0.2">
      <c r="A126" s="1" t="s">
        <v>379</v>
      </c>
      <c r="B126" s="1" t="s">
        <v>376</v>
      </c>
      <c r="C126" s="1" t="s">
        <v>380</v>
      </c>
      <c r="D126" s="1" t="s">
        <v>381</v>
      </c>
      <c r="E126" s="1" t="s">
        <v>12</v>
      </c>
      <c r="F126" s="1">
        <v>12</v>
      </c>
      <c r="G126" s="1">
        <v>14</v>
      </c>
      <c r="H126" s="1">
        <v>45</v>
      </c>
    </row>
    <row r="127" spans="1:8" x14ac:dyDescent="0.2">
      <c r="A127" s="1" t="s">
        <v>382</v>
      </c>
      <c r="B127" s="1" t="s">
        <v>376</v>
      </c>
      <c r="C127" s="1" t="s">
        <v>380</v>
      </c>
      <c r="D127" s="1" t="s">
        <v>383</v>
      </c>
      <c r="E127" s="1" t="s">
        <v>12</v>
      </c>
      <c r="F127" s="1">
        <v>12</v>
      </c>
      <c r="G127" s="1">
        <v>14</v>
      </c>
      <c r="H127" s="1">
        <v>45</v>
      </c>
    </row>
    <row r="128" spans="1:8" x14ac:dyDescent="0.2">
      <c r="A128" s="1" t="s">
        <v>384</v>
      </c>
      <c r="B128" s="1" t="s">
        <v>376</v>
      </c>
      <c r="C128" s="1" t="s">
        <v>385</v>
      </c>
      <c r="D128" s="1" t="s">
        <v>386</v>
      </c>
      <c r="E128" s="1" t="s">
        <v>21</v>
      </c>
      <c r="F128" s="1">
        <v>18</v>
      </c>
      <c r="G128" s="1">
        <v>15</v>
      </c>
      <c r="H128" s="1">
        <v>49</v>
      </c>
    </row>
    <row r="129" spans="1:8" x14ac:dyDescent="0.2">
      <c r="A129" s="1" t="s">
        <v>387</v>
      </c>
      <c r="B129" s="1" t="s">
        <v>376</v>
      </c>
      <c r="C129" s="1" t="s">
        <v>136</v>
      </c>
      <c r="D129" s="1" t="s">
        <v>52</v>
      </c>
      <c r="E129" s="1" t="s">
        <v>21</v>
      </c>
      <c r="F129" s="1">
        <v>13</v>
      </c>
      <c r="G129" s="1">
        <v>15</v>
      </c>
      <c r="H129" s="1">
        <v>52</v>
      </c>
    </row>
    <row r="130" spans="1:8" x14ac:dyDescent="0.2">
      <c r="A130" s="1" t="s">
        <v>388</v>
      </c>
      <c r="B130" s="1" t="s">
        <v>376</v>
      </c>
      <c r="C130" s="1" t="s">
        <v>389</v>
      </c>
      <c r="D130" s="1" t="s">
        <v>390</v>
      </c>
      <c r="E130" s="1" t="s">
        <v>12</v>
      </c>
      <c r="F130" s="1">
        <v>16</v>
      </c>
      <c r="G130" s="1">
        <v>10</v>
      </c>
      <c r="H130" s="1">
        <v>42</v>
      </c>
    </row>
    <row r="131" spans="1:8" x14ac:dyDescent="0.2">
      <c r="A131" s="1" t="s">
        <v>391</v>
      </c>
      <c r="B131" s="1" t="s">
        <v>392</v>
      </c>
      <c r="C131" s="1" t="s">
        <v>393</v>
      </c>
      <c r="D131" s="1" t="s">
        <v>394</v>
      </c>
      <c r="E131" s="1" t="s">
        <v>21</v>
      </c>
      <c r="F131" s="1" t="s">
        <v>395</v>
      </c>
      <c r="G131" s="1" t="s">
        <v>396</v>
      </c>
      <c r="H131" s="1" t="s">
        <v>397</v>
      </c>
    </row>
    <row r="132" spans="1:8" x14ac:dyDescent="0.2">
      <c r="A132" s="1" t="s">
        <v>398</v>
      </c>
      <c r="B132" s="1" t="s">
        <v>399</v>
      </c>
      <c r="C132" s="1" t="s">
        <v>153</v>
      </c>
      <c r="D132" s="1" t="s">
        <v>400</v>
      </c>
      <c r="E132" s="1" t="s">
        <v>12</v>
      </c>
      <c r="F132" s="1" t="s">
        <v>401</v>
      </c>
      <c r="G132" s="1" t="s">
        <v>402</v>
      </c>
      <c r="H132" s="1" t="s">
        <v>403</v>
      </c>
    </row>
    <row r="133" spans="1:8" x14ac:dyDescent="0.2">
      <c r="A133" s="1" t="s">
        <v>404</v>
      </c>
      <c r="B133" s="1" t="s">
        <v>405</v>
      </c>
      <c r="C133" s="1" t="s">
        <v>406</v>
      </c>
      <c r="D133" s="1" t="s">
        <v>407</v>
      </c>
      <c r="E133" s="1" t="s">
        <v>17</v>
      </c>
      <c r="F133" s="1">
        <v>10</v>
      </c>
      <c r="G133" s="1">
        <v>17</v>
      </c>
      <c r="H133" s="1">
        <v>49</v>
      </c>
    </row>
    <row r="134" spans="1:8" x14ac:dyDescent="0.2">
      <c r="A134" s="1" t="s">
        <v>408</v>
      </c>
      <c r="B134" s="1" t="s">
        <v>409</v>
      </c>
      <c r="C134" s="1" t="s">
        <v>410</v>
      </c>
      <c r="D134" s="1" t="s">
        <v>411</v>
      </c>
      <c r="E134" s="1" t="s">
        <v>21</v>
      </c>
      <c r="F134" s="1">
        <v>15</v>
      </c>
      <c r="G134" s="1">
        <v>17</v>
      </c>
      <c r="H134" s="1">
        <v>55</v>
      </c>
    </row>
    <row r="135" spans="1:8" x14ac:dyDescent="0.2">
      <c r="A135" s="1" t="s">
        <v>412</v>
      </c>
      <c r="B135" s="1" t="s">
        <v>413</v>
      </c>
      <c r="C135" s="1" t="s">
        <v>414</v>
      </c>
      <c r="D135" s="1" t="s">
        <v>415</v>
      </c>
      <c r="E135" s="1" t="s">
        <v>12</v>
      </c>
      <c r="F135" s="1">
        <v>19</v>
      </c>
      <c r="G135" s="1">
        <v>18</v>
      </c>
      <c r="H135" s="1">
        <v>56</v>
      </c>
    </row>
    <row r="136" spans="1:8" x14ac:dyDescent="0.2">
      <c r="A136" s="1" t="s">
        <v>416</v>
      </c>
      <c r="B136" s="1" t="s">
        <v>413</v>
      </c>
      <c r="C136" s="1" t="s">
        <v>417</v>
      </c>
      <c r="D136" s="1" t="s">
        <v>67</v>
      </c>
      <c r="E136" s="1" t="s">
        <v>21</v>
      </c>
      <c r="F136" s="1">
        <v>17</v>
      </c>
      <c r="G136" s="1">
        <v>12</v>
      </c>
      <c r="H136" s="1">
        <v>49</v>
      </c>
    </row>
    <row r="137" spans="1:8" x14ac:dyDescent="0.2">
      <c r="A137" s="1" t="s">
        <v>418</v>
      </c>
      <c r="B137" s="1" t="s">
        <v>413</v>
      </c>
      <c r="C137" s="1" t="s">
        <v>419</v>
      </c>
      <c r="D137" s="1" t="s">
        <v>288</v>
      </c>
      <c r="E137" s="1" t="s">
        <v>21</v>
      </c>
      <c r="F137" s="1">
        <v>16</v>
      </c>
      <c r="G137" s="1">
        <v>9</v>
      </c>
      <c r="H137" s="1">
        <v>53</v>
      </c>
    </row>
    <row r="138" spans="1:8" x14ac:dyDescent="0.2">
      <c r="A138" s="1" t="s">
        <v>420</v>
      </c>
      <c r="B138" s="1" t="s">
        <v>413</v>
      </c>
      <c r="C138" s="1" t="s">
        <v>421</v>
      </c>
      <c r="D138" s="1" t="s">
        <v>422</v>
      </c>
      <c r="E138" s="1" t="s">
        <v>12</v>
      </c>
      <c r="F138" s="1">
        <v>14</v>
      </c>
      <c r="G138" s="1">
        <v>19</v>
      </c>
      <c r="H138" s="1">
        <v>56</v>
      </c>
    </row>
    <row r="139" spans="1:8" x14ac:dyDescent="0.2">
      <c r="A139" s="1" t="s">
        <v>423</v>
      </c>
      <c r="B139" s="1" t="s">
        <v>413</v>
      </c>
      <c r="C139" s="1" t="s">
        <v>424</v>
      </c>
      <c r="D139" s="1" t="s">
        <v>425</v>
      </c>
      <c r="E139" s="1" t="s">
        <v>12</v>
      </c>
      <c r="F139" s="1">
        <v>15</v>
      </c>
      <c r="G139" s="1">
        <v>15</v>
      </c>
      <c r="H139" s="1">
        <v>53</v>
      </c>
    </row>
    <row r="140" spans="1:8" x14ac:dyDescent="0.2">
      <c r="A140" s="1" t="s">
        <v>426</v>
      </c>
      <c r="B140" s="1" t="s">
        <v>427</v>
      </c>
      <c r="C140" s="1" t="s">
        <v>428</v>
      </c>
      <c r="D140" s="1" t="s">
        <v>429</v>
      </c>
      <c r="E140" s="1" t="s">
        <v>53</v>
      </c>
      <c r="F140" s="1">
        <v>16</v>
      </c>
      <c r="G140" s="1">
        <v>17</v>
      </c>
      <c r="H140" s="1">
        <v>50</v>
      </c>
    </row>
    <row r="141" spans="1:8" x14ac:dyDescent="0.2">
      <c r="A141" s="1" t="s">
        <v>430</v>
      </c>
      <c r="B141" s="1" t="s">
        <v>427</v>
      </c>
      <c r="C141" s="1" t="s">
        <v>91</v>
      </c>
      <c r="D141" s="1" t="s">
        <v>431</v>
      </c>
      <c r="E141" s="1" t="s">
        <v>17</v>
      </c>
      <c r="F141" s="1">
        <v>15</v>
      </c>
      <c r="G141" s="1">
        <v>17</v>
      </c>
      <c r="H141" s="1">
        <v>53</v>
      </c>
    </row>
    <row r="142" spans="1:8" x14ac:dyDescent="0.2">
      <c r="A142" s="1" t="s">
        <v>432</v>
      </c>
      <c r="B142" s="1" t="s">
        <v>427</v>
      </c>
      <c r="C142" s="1" t="s">
        <v>433</v>
      </c>
      <c r="D142" s="1" t="s">
        <v>154</v>
      </c>
      <c r="E142" s="1" t="s">
        <v>17</v>
      </c>
      <c r="F142" s="1">
        <v>13</v>
      </c>
      <c r="G142" s="1">
        <v>15</v>
      </c>
      <c r="H142" s="1">
        <v>43</v>
      </c>
    </row>
    <row r="143" spans="1:8" x14ac:dyDescent="0.2">
      <c r="A143" s="1" t="s">
        <v>434</v>
      </c>
      <c r="B143" s="1" t="s">
        <v>427</v>
      </c>
      <c r="C143" s="1" t="s">
        <v>435</v>
      </c>
      <c r="D143" s="1" t="s">
        <v>436</v>
      </c>
      <c r="E143" s="1" t="s">
        <v>21</v>
      </c>
      <c r="F143" s="1">
        <v>12</v>
      </c>
      <c r="G143" s="1">
        <v>15</v>
      </c>
      <c r="H143" s="1">
        <v>45</v>
      </c>
    </row>
    <row r="144" spans="1:8" x14ac:dyDescent="0.2">
      <c r="A144" s="1" t="s">
        <v>437</v>
      </c>
      <c r="B144" s="1" t="s">
        <v>427</v>
      </c>
      <c r="C144" s="1" t="s">
        <v>438</v>
      </c>
      <c r="D144" s="1" t="s">
        <v>439</v>
      </c>
      <c r="E144" s="1" t="s">
        <v>17</v>
      </c>
      <c r="F144" s="1">
        <v>17</v>
      </c>
      <c r="G144" s="1">
        <v>16</v>
      </c>
      <c r="H144" s="1">
        <v>51</v>
      </c>
    </row>
    <row r="145" spans="1:8" x14ac:dyDescent="0.2">
      <c r="A145" s="1" t="s">
        <v>440</v>
      </c>
      <c r="B145" s="1" t="s">
        <v>441</v>
      </c>
      <c r="C145" s="1" t="s">
        <v>442</v>
      </c>
      <c r="D145" s="1" t="s">
        <v>443</v>
      </c>
      <c r="E145" s="1" t="s">
        <v>12</v>
      </c>
      <c r="F145" s="1">
        <v>20</v>
      </c>
      <c r="G145" s="1">
        <v>20</v>
      </c>
      <c r="H145" s="1">
        <v>40</v>
      </c>
    </row>
    <row r="146" spans="1:8" x14ac:dyDescent="0.2">
      <c r="A146" s="1" t="s">
        <v>444</v>
      </c>
      <c r="B146" s="1" t="s">
        <v>445</v>
      </c>
      <c r="C146" s="1" t="s">
        <v>446</v>
      </c>
      <c r="D146" s="1" t="s">
        <v>447</v>
      </c>
      <c r="E146" s="1" t="s">
        <v>17</v>
      </c>
      <c r="F146" s="1">
        <v>15</v>
      </c>
      <c r="G146" s="1">
        <v>10</v>
      </c>
      <c r="H146" s="1">
        <v>40</v>
      </c>
    </row>
    <row r="147" spans="1:8" x14ac:dyDescent="0.2">
      <c r="A147" s="1" t="s">
        <v>448</v>
      </c>
      <c r="B147" s="1" t="s">
        <v>449</v>
      </c>
      <c r="C147" s="1" t="s">
        <v>450</v>
      </c>
      <c r="D147" s="1" t="s">
        <v>451</v>
      </c>
      <c r="E147" s="1" t="s">
        <v>17</v>
      </c>
      <c r="F147" s="1">
        <v>16</v>
      </c>
      <c r="G147" s="1">
        <v>17</v>
      </c>
      <c r="H147" s="1">
        <v>49</v>
      </c>
    </row>
    <row r="148" spans="1:8" x14ac:dyDescent="0.2">
      <c r="A148" s="1" t="s">
        <v>452</v>
      </c>
      <c r="B148" s="1" t="s">
        <v>449</v>
      </c>
      <c r="C148" s="1" t="s">
        <v>453</v>
      </c>
      <c r="D148" s="1" t="s">
        <v>454</v>
      </c>
      <c r="E148" s="1" t="s">
        <v>21</v>
      </c>
      <c r="F148" s="1">
        <v>16</v>
      </c>
      <c r="G148" s="1">
        <v>20</v>
      </c>
      <c r="H148" s="1">
        <v>51</v>
      </c>
    </row>
    <row r="149" spans="1:8" x14ac:dyDescent="0.2">
      <c r="A149" s="1" t="s">
        <v>455</v>
      </c>
      <c r="B149" s="1" t="s">
        <v>449</v>
      </c>
      <c r="C149" s="1" t="s">
        <v>456</v>
      </c>
      <c r="D149" s="1" t="s">
        <v>457</v>
      </c>
      <c r="E149" s="1" t="s">
        <v>12</v>
      </c>
      <c r="F149" s="1">
        <v>10</v>
      </c>
      <c r="G149" s="1">
        <v>14</v>
      </c>
      <c r="H149" s="1">
        <v>39</v>
      </c>
    </row>
    <row r="150" spans="1:8" x14ac:dyDescent="0.2">
      <c r="A150" s="1" t="s">
        <v>458</v>
      </c>
      <c r="B150" s="1" t="s">
        <v>449</v>
      </c>
      <c r="C150" s="1" t="s">
        <v>174</v>
      </c>
      <c r="D150" s="1" t="s">
        <v>459</v>
      </c>
      <c r="E150" s="1" t="s">
        <v>12</v>
      </c>
      <c r="F150" s="1">
        <v>18</v>
      </c>
      <c r="G150" s="1">
        <v>16</v>
      </c>
      <c r="H150" s="1">
        <v>50</v>
      </c>
    </row>
    <row r="151" spans="1:8" x14ac:dyDescent="0.2">
      <c r="A151" s="1" t="s">
        <v>460</v>
      </c>
      <c r="B151" s="1" t="s">
        <v>449</v>
      </c>
      <c r="C151" s="1" t="s">
        <v>461</v>
      </c>
      <c r="D151" s="1" t="s">
        <v>462</v>
      </c>
      <c r="E151" s="1" t="s">
        <v>21</v>
      </c>
      <c r="F151" s="1">
        <v>14</v>
      </c>
      <c r="G151" s="1">
        <v>16</v>
      </c>
      <c r="H151" s="1">
        <v>52</v>
      </c>
    </row>
    <row r="152" spans="1:8" x14ac:dyDescent="0.2">
      <c r="A152" s="1" t="s">
        <v>463</v>
      </c>
      <c r="B152" s="1" t="s">
        <v>464</v>
      </c>
      <c r="C152" s="1" t="s">
        <v>154</v>
      </c>
      <c r="D152" s="1" t="s">
        <v>100</v>
      </c>
      <c r="E152" s="1" t="s">
        <v>21</v>
      </c>
      <c r="F152" s="1">
        <v>20</v>
      </c>
      <c r="G152" s="1">
        <v>18</v>
      </c>
      <c r="H152" s="1">
        <v>45</v>
      </c>
    </row>
    <row r="153" spans="1:8" x14ac:dyDescent="0.2">
      <c r="A153" s="1" t="s">
        <v>465</v>
      </c>
      <c r="B153" s="1" t="s">
        <v>464</v>
      </c>
      <c r="C153" s="1" t="s">
        <v>466</v>
      </c>
      <c r="D153" s="1" t="s">
        <v>467</v>
      </c>
      <c r="E153" s="1" t="s">
        <v>12</v>
      </c>
      <c r="F153" s="1">
        <v>15</v>
      </c>
      <c r="G153" s="1">
        <v>20</v>
      </c>
      <c r="H153" s="1">
        <v>30</v>
      </c>
    </row>
    <row r="154" spans="1:8" x14ac:dyDescent="0.2">
      <c r="A154" s="1" t="s">
        <v>468</v>
      </c>
      <c r="B154" s="1" t="s">
        <v>464</v>
      </c>
      <c r="C154" s="1" t="s">
        <v>469</v>
      </c>
      <c r="D154" s="1" t="s">
        <v>470</v>
      </c>
      <c r="E154" s="1" t="s">
        <v>21</v>
      </c>
      <c r="F154" s="1">
        <v>10</v>
      </c>
      <c r="G154" s="1">
        <v>15</v>
      </c>
      <c r="H154" s="1">
        <v>25</v>
      </c>
    </row>
    <row r="155" spans="1:8" x14ac:dyDescent="0.2">
      <c r="A155" s="1" t="s">
        <v>471</v>
      </c>
      <c r="B155" s="1" t="s">
        <v>464</v>
      </c>
      <c r="C155" s="1" t="s">
        <v>472</v>
      </c>
      <c r="D155" s="1" t="s">
        <v>473</v>
      </c>
      <c r="E155" s="1" t="s">
        <v>21</v>
      </c>
      <c r="F155" s="1">
        <v>16</v>
      </c>
      <c r="G155" s="1">
        <v>12</v>
      </c>
      <c r="H155" s="1">
        <v>20</v>
      </c>
    </row>
    <row r="156" spans="1:8" x14ac:dyDescent="0.2">
      <c r="A156" s="1" t="s">
        <v>474</v>
      </c>
      <c r="B156" s="1" t="s">
        <v>464</v>
      </c>
      <c r="C156" s="1" t="s">
        <v>475</v>
      </c>
      <c r="D156" s="1" t="s">
        <v>476</v>
      </c>
      <c r="E156" s="1" t="s">
        <v>12</v>
      </c>
      <c r="F156" s="1">
        <v>20</v>
      </c>
      <c r="G156" s="1">
        <v>20</v>
      </c>
      <c r="H156" s="1">
        <v>42</v>
      </c>
    </row>
    <row r="157" spans="1:8" x14ac:dyDescent="0.2">
      <c r="A157" s="1" t="s">
        <v>477</v>
      </c>
      <c r="B157" s="1" t="s">
        <v>464</v>
      </c>
      <c r="C157" s="1" t="s">
        <v>154</v>
      </c>
      <c r="D157" s="1" t="s">
        <v>100</v>
      </c>
      <c r="E157" s="1" t="s">
        <v>21</v>
      </c>
      <c r="F157" s="1">
        <v>20</v>
      </c>
      <c r="G157" s="1">
        <v>18</v>
      </c>
      <c r="H157" s="1">
        <v>45</v>
      </c>
    </row>
    <row r="158" spans="1:8" x14ac:dyDescent="0.2">
      <c r="A158" s="1" t="s">
        <v>478</v>
      </c>
      <c r="B158" s="1" t="s">
        <v>479</v>
      </c>
      <c r="C158" s="1" t="s">
        <v>107</v>
      </c>
      <c r="D158" s="1" t="s">
        <v>480</v>
      </c>
      <c r="E158" s="1" t="s">
        <v>21</v>
      </c>
      <c r="F158" s="1">
        <v>15</v>
      </c>
      <c r="G158" s="1">
        <v>16</v>
      </c>
      <c r="H158" s="1">
        <v>44</v>
      </c>
    </row>
    <row r="159" spans="1:8" x14ac:dyDescent="0.2">
      <c r="A159" s="1" t="s">
        <v>481</v>
      </c>
      <c r="B159" s="1" t="s">
        <v>479</v>
      </c>
      <c r="C159" s="1" t="s">
        <v>154</v>
      </c>
      <c r="D159" s="1" t="s">
        <v>157</v>
      </c>
      <c r="E159" s="1" t="s">
        <v>21</v>
      </c>
      <c r="F159" s="1">
        <v>10</v>
      </c>
      <c r="G159" s="1">
        <v>12</v>
      </c>
      <c r="H159" s="1">
        <v>34</v>
      </c>
    </row>
    <row r="160" spans="1:8" x14ac:dyDescent="0.2">
      <c r="A160" s="1" t="s">
        <v>482</v>
      </c>
      <c r="B160" s="1" t="s">
        <v>479</v>
      </c>
      <c r="C160" s="1" t="s">
        <v>483</v>
      </c>
      <c r="D160" s="1" t="s">
        <v>484</v>
      </c>
      <c r="E160" s="1" t="s">
        <v>12</v>
      </c>
      <c r="F160" s="1">
        <v>17</v>
      </c>
      <c r="G160" s="1">
        <v>20</v>
      </c>
      <c r="H160" s="1">
        <v>39</v>
      </c>
    </row>
    <row r="161" spans="1:8" x14ac:dyDescent="0.2">
      <c r="A161" s="1" t="s">
        <v>485</v>
      </c>
      <c r="B161" s="1" t="s">
        <v>479</v>
      </c>
      <c r="C161" s="1" t="s">
        <v>486</v>
      </c>
      <c r="D161" s="1" t="s">
        <v>52</v>
      </c>
      <c r="E161" s="1" t="s">
        <v>12</v>
      </c>
      <c r="F161" s="1">
        <v>18</v>
      </c>
      <c r="G161" s="1">
        <v>12</v>
      </c>
      <c r="H161" s="1">
        <v>45</v>
      </c>
    </row>
    <row r="162" spans="1:8" x14ac:dyDescent="0.2">
      <c r="A162" s="1" t="s">
        <v>487</v>
      </c>
      <c r="B162" s="1" t="s">
        <v>479</v>
      </c>
      <c r="C162" s="1" t="s">
        <v>422</v>
      </c>
      <c r="D162" s="1" t="s">
        <v>386</v>
      </c>
      <c r="E162" s="1" t="s">
        <v>21</v>
      </c>
      <c r="F162" s="1">
        <v>13</v>
      </c>
      <c r="G162" s="1">
        <v>20</v>
      </c>
      <c r="H162" s="1">
        <v>42</v>
      </c>
    </row>
    <row r="163" spans="1:8" x14ac:dyDescent="0.2">
      <c r="A163" s="1" t="s">
        <v>488</v>
      </c>
      <c r="B163" s="1" t="s">
        <v>489</v>
      </c>
      <c r="C163" s="1" t="s">
        <v>490</v>
      </c>
      <c r="D163" s="1" t="s">
        <v>342</v>
      </c>
      <c r="E163" s="1" t="s">
        <v>21</v>
      </c>
      <c r="F163" s="1">
        <v>18</v>
      </c>
      <c r="G163" s="1">
        <v>16</v>
      </c>
      <c r="H163" s="1">
        <v>52</v>
      </c>
    </row>
    <row r="164" spans="1:8" x14ac:dyDescent="0.2">
      <c r="A164" s="1" t="s">
        <v>491</v>
      </c>
      <c r="B164" s="1" t="s">
        <v>489</v>
      </c>
      <c r="C164" s="1" t="s">
        <v>356</v>
      </c>
      <c r="D164" s="1" t="s">
        <v>492</v>
      </c>
      <c r="E164" s="1" t="s">
        <v>12</v>
      </c>
      <c r="F164" s="1">
        <v>13</v>
      </c>
      <c r="G164" s="1">
        <v>12</v>
      </c>
      <c r="H164" s="1">
        <v>49</v>
      </c>
    </row>
    <row r="165" spans="1:8" x14ac:dyDescent="0.2">
      <c r="A165" s="1" t="s">
        <v>493</v>
      </c>
      <c r="B165" s="1" t="s">
        <v>489</v>
      </c>
      <c r="C165" s="1" t="s">
        <v>494</v>
      </c>
      <c r="D165" s="1" t="s">
        <v>495</v>
      </c>
      <c r="E165" s="1" t="s">
        <v>496</v>
      </c>
      <c r="F165" s="1">
        <v>19</v>
      </c>
      <c r="G165" s="1">
        <v>20</v>
      </c>
      <c r="H165" s="1">
        <v>57</v>
      </c>
    </row>
    <row r="166" spans="1:8" x14ac:dyDescent="0.2">
      <c r="A166" s="1" t="s">
        <v>497</v>
      </c>
      <c r="B166" s="1" t="s">
        <v>489</v>
      </c>
      <c r="C166" s="1" t="s">
        <v>498</v>
      </c>
      <c r="D166" s="1" t="s">
        <v>499</v>
      </c>
      <c r="E166" s="1" t="s">
        <v>169</v>
      </c>
      <c r="F166" s="1">
        <v>12</v>
      </c>
      <c r="G166" s="1">
        <v>10</v>
      </c>
      <c r="H166" s="1">
        <v>50</v>
      </c>
    </row>
    <row r="167" spans="1:8" x14ac:dyDescent="0.2">
      <c r="A167" s="1" t="s">
        <v>500</v>
      </c>
      <c r="B167" s="1" t="s">
        <v>489</v>
      </c>
      <c r="C167" s="1" t="s">
        <v>501</v>
      </c>
      <c r="D167" s="1" t="s">
        <v>502</v>
      </c>
      <c r="E167" s="1" t="s">
        <v>496</v>
      </c>
      <c r="F167" s="1">
        <v>15</v>
      </c>
      <c r="G167" s="1">
        <v>16</v>
      </c>
      <c r="H167" s="1">
        <v>58</v>
      </c>
    </row>
    <row r="168" spans="1:8" x14ac:dyDescent="0.2">
      <c r="A168" s="1" t="s">
        <v>503</v>
      </c>
      <c r="B168" s="1" t="s">
        <v>504</v>
      </c>
      <c r="C168" s="1" t="s">
        <v>505</v>
      </c>
      <c r="D168" s="1" t="s">
        <v>506</v>
      </c>
      <c r="E168" s="1" t="s">
        <v>21</v>
      </c>
      <c r="F168" s="1">
        <v>14</v>
      </c>
      <c r="G168" s="1">
        <v>16</v>
      </c>
      <c r="H168" s="1">
        <v>48</v>
      </c>
    </row>
    <row r="169" spans="1:8" x14ac:dyDescent="0.2">
      <c r="A169" s="1" t="s">
        <v>507</v>
      </c>
      <c r="B169" s="1" t="s">
        <v>504</v>
      </c>
      <c r="C169" s="1" t="s">
        <v>508</v>
      </c>
      <c r="D169" s="1" t="s">
        <v>508</v>
      </c>
      <c r="E169" s="1" t="s">
        <v>21</v>
      </c>
      <c r="F169" s="1">
        <v>17</v>
      </c>
      <c r="G169" s="1">
        <v>19</v>
      </c>
      <c r="H169" s="1">
        <v>52</v>
      </c>
    </row>
    <row r="170" spans="1:8" x14ac:dyDescent="0.2">
      <c r="A170" s="1" t="s">
        <v>509</v>
      </c>
      <c r="B170" s="1" t="s">
        <v>504</v>
      </c>
      <c r="C170" s="1" t="s">
        <v>510</v>
      </c>
      <c r="D170" s="1" t="s">
        <v>511</v>
      </c>
      <c r="E170" s="1" t="s">
        <v>21</v>
      </c>
      <c r="F170" s="1">
        <v>16</v>
      </c>
      <c r="G170" s="1">
        <v>18</v>
      </c>
      <c r="H170" s="1">
        <v>50</v>
      </c>
    </row>
    <row r="171" spans="1:8" x14ac:dyDescent="0.2">
      <c r="A171" s="1" t="s">
        <v>512</v>
      </c>
      <c r="B171" s="1" t="s">
        <v>504</v>
      </c>
      <c r="C171" s="1" t="s">
        <v>154</v>
      </c>
      <c r="D171" s="1" t="s">
        <v>513</v>
      </c>
      <c r="E171" s="1" t="s">
        <v>21</v>
      </c>
      <c r="F171" s="1">
        <v>16</v>
      </c>
      <c r="G171" s="1">
        <v>19</v>
      </c>
      <c r="H171" s="1">
        <v>46</v>
      </c>
    </row>
    <row r="172" spans="1:8" x14ac:dyDescent="0.2">
      <c r="A172" s="1" t="s">
        <v>514</v>
      </c>
      <c r="B172" s="1" t="s">
        <v>504</v>
      </c>
      <c r="C172" s="1" t="s">
        <v>515</v>
      </c>
      <c r="D172" s="1" t="s">
        <v>516</v>
      </c>
      <c r="E172" s="1" t="s">
        <v>12</v>
      </c>
      <c r="F172" s="1">
        <v>17</v>
      </c>
      <c r="G172" s="1">
        <v>19</v>
      </c>
      <c r="H172" s="1">
        <v>58</v>
      </c>
    </row>
    <row r="173" spans="1:8" x14ac:dyDescent="0.2">
      <c r="A173" s="1" t="s">
        <v>517</v>
      </c>
      <c r="B173" s="1" t="s">
        <v>518</v>
      </c>
      <c r="C173" s="1" t="s">
        <v>519</v>
      </c>
      <c r="D173" s="1" t="s">
        <v>520</v>
      </c>
      <c r="E173" s="1" t="s">
        <v>17</v>
      </c>
      <c r="F173" s="1">
        <v>20</v>
      </c>
      <c r="G173" s="1">
        <v>18</v>
      </c>
      <c r="H173" s="1">
        <v>16</v>
      </c>
    </row>
    <row r="174" spans="1:8" x14ac:dyDescent="0.2">
      <c r="A174" s="1" t="s">
        <v>521</v>
      </c>
      <c r="B174" s="1" t="s">
        <v>464</v>
      </c>
      <c r="C174" s="1" t="s">
        <v>522</v>
      </c>
      <c r="D174" s="1" t="s">
        <v>100</v>
      </c>
      <c r="E174" s="1" t="s">
        <v>21</v>
      </c>
      <c r="F174" s="1">
        <v>20</v>
      </c>
      <c r="G174" s="1">
        <v>18</v>
      </c>
      <c r="H174" s="1">
        <v>45</v>
      </c>
    </row>
    <row r="175" spans="1:8" x14ac:dyDescent="0.2">
      <c r="A175" s="1" t="s">
        <v>523</v>
      </c>
      <c r="B175" s="1" t="s">
        <v>464</v>
      </c>
      <c r="C175" s="1" t="s">
        <v>524</v>
      </c>
      <c r="D175" s="1" t="s">
        <v>467</v>
      </c>
      <c r="E175" s="1" t="s">
        <v>12</v>
      </c>
      <c r="F175" s="1">
        <v>15</v>
      </c>
      <c r="G175" s="1">
        <v>20</v>
      </c>
      <c r="H175" s="1">
        <v>30</v>
      </c>
    </row>
    <row r="176" spans="1:8" x14ac:dyDescent="0.2">
      <c r="A176" s="1" t="s">
        <v>525</v>
      </c>
      <c r="B176" s="1" t="s">
        <v>464</v>
      </c>
      <c r="C176" s="1" t="s">
        <v>469</v>
      </c>
      <c r="D176" s="1" t="s">
        <v>526</v>
      </c>
      <c r="E176" s="1" t="s">
        <v>21</v>
      </c>
      <c r="F176" s="1">
        <v>10</v>
      </c>
      <c r="G176" s="1">
        <v>15</v>
      </c>
      <c r="H176" s="1">
        <v>25</v>
      </c>
    </row>
    <row r="177" spans="1:8" x14ac:dyDescent="0.2">
      <c r="A177" s="1" t="s">
        <v>527</v>
      </c>
      <c r="B177" s="1" t="s">
        <v>464</v>
      </c>
      <c r="C177" s="1" t="s">
        <v>472</v>
      </c>
      <c r="D177" s="1" t="s">
        <v>473</v>
      </c>
      <c r="E177" s="1" t="s">
        <v>21</v>
      </c>
      <c r="F177" s="1">
        <v>16</v>
      </c>
      <c r="G177" s="1">
        <v>12</v>
      </c>
      <c r="H177" s="1">
        <v>20</v>
      </c>
    </row>
    <row r="178" spans="1:8" x14ac:dyDescent="0.2">
      <c r="A178" s="1" t="s">
        <v>528</v>
      </c>
      <c r="B178" s="1" t="s">
        <v>464</v>
      </c>
      <c r="C178" s="1" t="s">
        <v>529</v>
      </c>
      <c r="D178" s="1" t="s">
        <v>476</v>
      </c>
      <c r="E178" s="1" t="s">
        <v>17</v>
      </c>
      <c r="F178" s="1">
        <v>20</v>
      </c>
      <c r="G178" s="1">
        <v>20</v>
      </c>
      <c r="H178" s="1">
        <v>42</v>
      </c>
    </row>
    <row r="179" spans="1:8" x14ac:dyDescent="0.2">
      <c r="A179" s="1" t="s">
        <v>530</v>
      </c>
      <c r="B179" s="1" t="s">
        <v>531</v>
      </c>
      <c r="C179" s="1" t="s">
        <v>101</v>
      </c>
      <c r="D179" s="1" t="s">
        <v>532</v>
      </c>
      <c r="E179" s="1" t="s">
        <v>21</v>
      </c>
      <c r="F179" s="1">
        <v>14</v>
      </c>
      <c r="G179" s="1">
        <v>17</v>
      </c>
      <c r="H179" s="1">
        <v>42</v>
      </c>
    </row>
    <row r="180" spans="1:8" x14ac:dyDescent="0.2">
      <c r="A180" s="1" t="s">
        <v>533</v>
      </c>
      <c r="B180" s="1" t="s">
        <v>531</v>
      </c>
      <c r="C180" s="1" t="s">
        <v>442</v>
      </c>
      <c r="D180" s="1" t="s">
        <v>534</v>
      </c>
      <c r="E180" s="1" t="s">
        <v>12</v>
      </c>
      <c r="F180" s="1">
        <v>15</v>
      </c>
      <c r="G180" s="1">
        <v>14</v>
      </c>
      <c r="H180" s="1">
        <v>48</v>
      </c>
    </row>
    <row r="181" spans="1:8" x14ac:dyDescent="0.2">
      <c r="A181" s="1" t="s">
        <v>535</v>
      </c>
      <c r="B181" s="1" t="s">
        <v>531</v>
      </c>
      <c r="C181" s="1" t="s">
        <v>536</v>
      </c>
      <c r="D181" s="1" t="s">
        <v>537</v>
      </c>
      <c r="E181" s="1" t="s">
        <v>12</v>
      </c>
      <c r="F181" s="1">
        <v>16</v>
      </c>
      <c r="G181" s="1">
        <v>16</v>
      </c>
      <c r="H181" s="1">
        <v>50</v>
      </c>
    </row>
    <row r="182" spans="1:8" x14ac:dyDescent="0.2">
      <c r="A182" s="1" t="s">
        <v>538</v>
      </c>
      <c r="B182" s="1" t="s">
        <v>531</v>
      </c>
      <c r="C182" s="1" t="s">
        <v>539</v>
      </c>
      <c r="D182" s="1" t="s">
        <v>540</v>
      </c>
      <c r="E182" s="1" t="s">
        <v>21</v>
      </c>
      <c r="F182" s="1">
        <v>17</v>
      </c>
      <c r="G182" s="1">
        <v>14</v>
      </c>
      <c r="H182" s="1">
        <v>51</v>
      </c>
    </row>
    <row r="183" spans="1:8" x14ac:dyDescent="0.2">
      <c r="A183" s="1" t="s">
        <v>541</v>
      </c>
      <c r="B183" s="1" t="s">
        <v>531</v>
      </c>
      <c r="C183" s="1" t="s">
        <v>542</v>
      </c>
      <c r="D183" s="1" t="s">
        <v>543</v>
      </c>
      <c r="E183" s="1" t="s">
        <v>17</v>
      </c>
      <c r="F183" s="1">
        <v>18</v>
      </c>
      <c r="G183" s="1">
        <v>18</v>
      </c>
      <c r="H183" s="1">
        <v>55</v>
      </c>
    </row>
    <row r="184" spans="1:8" x14ac:dyDescent="0.2">
      <c r="A184" s="1" t="s">
        <v>544</v>
      </c>
      <c r="B184" s="1" t="s">
        <v>545</v>
      </c>
      <c r="C184" s="1" t="s">
        <v>325</v>
      </c>
      <c r="D184" s="1" t="s">
        <v>101</v>
      </c>
      <c r="E184" s="1" t="s">
        <v>53</v>
      </c>
      <c r="F184" s="1">
        <v>16</v>
      </c>
      <c r="G184" s="1">
        <v>18</v>
      </c>
      <c r="H184" s="1">
        <v>45</v>
      </c>
    </row>
    <row r="185" spans="1:8" x14ac:dyDescent="0.2">
      <c r="A185" s="1" t="s">
        <v>546</v>
      </c>
      <c r="B185" s="1" t="s">
        <v>545</v>
      </c>
      <c r="C185" s="1" t="s">
        <v>547</v>
      </c>
      <c r="D185" s="1" t="s">
        <v>548</v>
      </c>
      <c r="E185" s="1" t="s">
        <v>17</v>
      </c>
      <c r="F185" s="1">
        <v>18</v>
      </c>
      <c r="G185" s="1">
        <v>20</v>
      </c>
      <c r="H185" s="1">
        <v>40</v>
      </c>
    </row>
    <row r="186" spans="1:8" x14ac:dyDescent="0.2">
      <c r="A186" s="1" t="s">
        <v>549</v>
      </c>
      <c r="B186" s="1" t="s">
        <v>545</v>
      </c>
      <c r="C186" s="1" t="s">
        <v>550</v>
      </c>
      <c r="D186" s="1" t="s">
        <v>551</v>
      </c>
      <c r="E186" s="1" t="s">
        <v>17</v>
      </c>
      <c r="F186" s="1">
        <v>15</v>
      </c>
      <c r="G186" s="1">
        <v>13</v>
      </c>
      <c r="H186" s="1">
        <v>35</v>
      </c>
    </row>
    <row r="187" spans="1:8" x14ac:dyDescent="0.2">
      <c r="A187" s="1" t="s">
        <v>552</v>
      </c>
      <c r="B187" s="1" t="s">
        <v>545</v>
      </c>
      <c r="C187" s="1" t="s">
        <v>553</v>
      </c>
      <c r="D187" s="1" t="s">
        <v>554</v>
      </c>
      <c r="E187" s="1" t="s">
        <v>53</v>
      </c>
      <c r="F187" s="1">
        <v>15</v>
      </c>
      <c r="G187" s="1">
        <v>20</v>
      </c>
      <c r="H187" s="1">
        <v>50</v>
      </c>
    </row>
    <row r="188" spans="1:8" x14ac:dyDescent="0.2">
      <c r="A188" s="1" t="s">
        <v>555</v>
      </c>
      <c r="B188" s="1" t="s">
        <v>545</v>
      </c>
      <c r="C188" s="1" t="s">
        <v>556</v>
      </c>
      <c r="D188" s="1" t="s">
        <v>557</v>
      </c>
      <c r="E188" s="1" t="s">
        <v>17</v>
      </c>
      <c r="F188" s="1">
        <v>18</v>
      </c>
      <c r="G188" s="1">
        <v>18</v>
      </c>
      <c r="H188" s="1">
        <v>55</v>
      </c>
    </row>
    <row r="189" spans="1:8" x14ac:dyDescent="0.2">
      <c r="A189" s="1" t="s">
        <v>558</v>
      </c>
      <c r="B189" s="1" t="s">
        <v>559</v>
      </c>
      <c r="C189" s="1" t="s">
        <v>560</v>
      </c>
      <c r="D189" s="1" t="s">
        <v>561</v>
      </c>
      <c r="E189" s="1" t="s">
        <v>17</v>
      </c>
      <c r="F189" s="1">
        <v>12</v>
      </c>
      <c r="G189" s="1">
        <v>18</v>
      </c>
      <c r="H189" s="1">
        <v>39</v>
      </c>
    </row>
    <row r="190" spans="1:8" x14ac:dyDescent="0.2">
      <c r="A190" s="1" t="s">
        <v>562</v>
      </c>
      <c r="B190" s="1" t="s">
        <v>559</v>
      </c>
      <c r="C190" s="1" t="s">
        <v>100</v>
      </c>
      <c r="D190" s="1" t="s">
        <v>563</v>
      </c>
      <c r="E190" s="1" t="s">
        <v>169</v>
      </c>
      <c r="F190" s="1">
        <v>17</v>
      </c>
      <c r="G190" s="1">
        <v>14</v>
      </c>
      <c r="H190" s="1">
        <v>41</v>
      </c>
    </row>
    <row r="191" spans="1:8" x14ac:dyDescent="0.2">
      <c r="A191" s="1" t="s">
        <v>564</v>
      </c>
      <c r="B191" s="1" t="s">
        <v>559</v>
      </c>
      <c r="C191" s="1" t="s">
        <v>565</v>
      </c>
      <c r="D191" s="1" t="s">
        <v>566</v>
      </c>
      <c r="E191" s="1" t="s">
        <v>567</v>
      </c>
      <c r="F191" s="1">
        <v>12</v>
      </c>
      <c r="G191" s="1">
        <v>13</v>
      </c>
      <c r="H191" s="1">
        <v>50</v>
      </c>
    </row>
    <row r="192" spans="1:8" x14ac:dyDescent="0.2">
      <c r="A192" s="1" t="s">
        <v>568</v>
      </c>
      <c r="B192" s="1" t="s">
        <v>559</v>
      </c>
      <c r="C192" s="1" t="s">
        <v>569</v>
      </c>
      <c r="D192" s="1" t="s">
        <v>570</v>
      </c>
      <c r="E192" s="1" t="s">
        <v>12</v>
      </c>
      <c r="F192" s="1">
        <v>19</v>
      </c>
      <c r="G192" s="1">
        <v>15</v>
      </c>
      <c r="H192" s="1">
        <v>54</v>
      </c>
    </row>
    <row r="193" spans="1:8" x14ac:dyDescent="0.2">
      <c r="A193" s="1" t="s">
        <v>571</v>
      </c>
      <c r="B193" s="1" t="s">
        <v>559</v>
      </c>
      <c r="C193" s="1" t="s">
        <v>561</v>
      </c>
      <c r="D193" s="1" t="s">
        <v>572</v>
      </c>
      <c r="E193" s="1" t="s">
        <v>21</v>
      </c>
      <c r="F193" s="1">
        <v>19</v>
      </c>
      <c r="G193" s="1">
        <v>16</v>
      </c>
      <c r="H193" s="1">
        <v>49</v>
      </c>
    </row>
    <row r="194" spans="1:8" x14ac:dyDescent="0.2">
      <c r="A194" s="1" t="s">
        <v>573</v>
      </c>
      <c r="B194" s="1" t="s">
        <v>574</v>
      </c>
      <c r="C194" s="1" t="s">
        <v>569</v>
      </c>
      <c r="D194" s="1" t="s">
        <v>575</v>
      </c>
      <c r="E194" s="1" t="s">
        <v>17</v>
      </c>
      <c r="F194" s="1">
        <v>15</v>
      </c>
      <c r="G194" s="1">
        <v>19</v>
      </c>
      <c r="H194" s="1">
        <v>55</v>
      </c>
    </row>
    <row r="195" spans="1:8" x14ac:dyDescent="0.2">
      <c r="A195" s="1" t="s">
        <v>576</v>
      </c>
      <c r="B195" s="1" t="s">
        <v>577</v>
      </c>
      <c r="C195" s="1" t="s">
        <v>159</v>
      </c>
      <c r="D195" s="1" t="s">
        <v>578</v>
      </c>
      <c r="E195" s="1" t="s">
        <v>21</v>
      </c>
      <c r="F195" s="1">
        <v>15</v>
      </c>
      <c r="G195" s="1">
        <v>18</v>
      </c>
      <c r="H195" s="1">
        <v>40</v>
      </c>
    </row>
    <row r="196" spans="1:8" x14ac:dyDescent="0.2">
      <c r="A196" s="1" t="s">
        <v>579</v>
      </c>
      <c r="B196" s="1" t="s">
        <v>574</v>
      </c>
      <c r="C196" s="1" t="s">
        <v>422</v>
      </c>
      <c r="D196" s="1" t="s">
        <v>580</v>
      </c>
      <c r="E196" s="1" t="s">
        <v>21</v>
      </c>
      <c r="F196" s="1">
        <v>12</v>
      </c>
      <c r="G196" s="1">
        <v>18</v>
      </c>
      <c r="H196" s="1">
        <v>35</v>
      </c>
    </row>
    <row r="197" spans="1:8" x14ac:dyDescent="0.2">
      <c r="A197" s="1" t="s">
        <v>581</v>
      </c>
      <c r="B197" s="1" t="s">
        <v>577</v>
      </c>
      <c r="C197" s="1" t="s">
        <v>204</v>
      </c>
      <c r="D197" s="1" t="s">
        <v>582</v>
      </c>
      <c r="E197" s="1" t="s">
        <v>12</v>
      </c>
      <c r="F197" s="1">
        <v>16</v>
      </c>
      <c r="G197" s="1">
        <v>20</v>
      </c>
      <c r="H197" s="1">
        <v>59</v>
      </c>
    </row>
    <row r="198" spans="1:8" x14ac:dyDescent="0.2">
      <c r="A198" s="1" t="s">
        <v>583</v>
      </c>
      <c r="B198" s="1" t="s">
        <v>574</v>
      </c>
      <c r="C198" s="1" t="s">
        <v>584</v>
      </c>
      <c r="D198" s="1" t="s">
        <v>585</v>
      </c>
      <c r="E198" s="1" t="s">
        <v>12</v>
      </c>
      <c r="F198" s="1">
        <v>14</v>
      </c>
      <c r="G198" s="1">
        <v>17</v>
      </c>
      <c r="H198" s="1">
        <v>52</v>
      </c>
    </row>
    <row r="199" spans="1:8" x14ac:dyDescent="0.2">
      <c r="A199" s="1" t="s">
        <v>586</v>
      </c>
      <c r="B199" s="1" t="s">
        <v>577</v>
      </c>
      <c r="C199" s="1" t="s">
        <v>288</v>
      </c>
      <c r="D199" s="1" t="s">
        <v>346</v>
      </c>
      <c r="E199" s="1" t="s">
        <v>21</v>
      </c>
      <c r="F199" s="1">
        <v>5</v>
      </c>
      <c r="G199" s="1">
        <v>10</v>
      </c>
      <c r="H199" s="1">
        <v>60</v>
      </c>
    </row>
    <row r="200" spans="1:8" x14ac:dyDescent="0.2">
      <c r="A200" s="1" t="s">
        <v>587</v>
      </c>
      <c r="B200" s="1" t="s">
        <v>574</v>
      </c>
      <c r="C200" s="1" t="s">
        <v>588</v>
      </c>
      <c r="D200" s="1" t="s">
        <v>589</v>
      </c>
      <c r="E200" s="1" t="s">
        <v>21</v>
      </c>
      <c r="F200" s="1">
        <v>18</v>
      </c>
      <c r="G200" s="1">
        <v>18</v>
      </c>
      <c r="H200" s="1">
        <v>58</v>
      </c>
    </row>
    <row r="201" spans="1:8" x14ac:dyDescent="0.2">
      <c r="A201" s="1" t="s">
        <v>590</v>
      </c>
      <c r="B201" s="1" t="s">
        <v>577</v>
      </c>
      <c r="C201" s="1" t="s">
        <v>591</v>
      </c>
      <c r="D201" s="1" t="s">
        <v>592</v>
      </c>
      <c r="E201" s="1" t="s">
        <v>12</v>
      </c>
      <c r="F201" s="1">
        <v>20</v>
      </c>
      <c r="G201" s="1">
        <v>20</v>
      </c>
      <c r="H201" s="1">
        <v>30</v>
      </c>
    </row>
    <row r="202" spans="1:8" x14ac:dyDescent="0.2">
      <c r="A202" s="1" t="s">
        <v>593</v>
      </c>
      <c r="B202" s="1" t="s">
        <v>574</v>
      </c>
      <c r="C202" s="1" t="s">
        <v>273</v>
      </c>
      <c r="D202" s="1" t="s">
        <v>107</v>
      </c>
      <c r="E202" s="1" t="s">
        <v>17</v>
      </c>
      <c r="F202" s="1">
        <v>20</v>
      </c>
      <c r="G202" s="1">
        <v>19</v>
      </c>
      <c r="H202" s="1">
        <v>56</v>
      </c>
    </row>
    <row r="203" spans="1:8" x14ac:dyDescent="0.2">
      <c r="A203" s="1" t="s">
        <v>594</v>
      </c>
      <c r="B203" s="1" t="s">
        <v>577</v>
      </c>
      <c r="C203" s="1" t="s">
        <v>595</v>
      </c>
      <c r="D203" s="1" t="s">
        <v>596</v>
      </c>
      <c r="E203" s="1" t="s">
        <v>21</v>
      </c>
      <c r="F203" s="1">
        <v>19</v>
      </c>
      <c r="G203" s="1">
        <v>17</v>
      </c>
      <c r="H203" s="1">
        <v>46</v>
      </c>
    </row>
    <row r="204" spans="1:8" x14ac:dyDescent="0.2">
      <c r="A204" s="1" t="s">
        <v>597</v>
      </c>
      <c r="B204" s="1" t="s">
        <v>445</v>
      </c>
      <c r="C204" s="1" t="s">
        <v>353</v>
      </c>
      <c r="D204" s="1" t="s">
        <v>598</v>
      </c>
      <c r="E204" s="1" t="s">
        <v>12</v>
      </c>
      <c r="F204" s="1">
        <v>17</v>
      </c>
      <c r="G204" s="1">
        <v>19</v>
      </c>
      <c r="H204" s="1">
        <v>50</v>
      </c>
    </row>
    <row r="205" spans="1:8" x14ac:dyDescent="0.2">
      <c r="A205" s="1" t="s">
        <v>599</v>
      </c>
      <c r="B205" s="1" t="s">
        <v>445</v>
      </c>
      <c r="C205" s="1" t="s">
        <v>353</v>
      </c>
      <c r="D205" s="1" t="s">
        <v>598</v>
      </c>
      <c r="E205" s="1" t="s">
        <v>12</v>
      </c>
      <c r="F205" s="1">
        <v>20</v>
      </c>
      <c r="G205" s="1">
        <v>20</v>
      </c>
      <c r="H205" s="1">
        <v>59</v>
      </c>
    </row>
    <row r="206" spans="1:8" x14ac:dyDescent="0.2">
      <c r="A206" s="1" t="s">
        <v>600</v>
      </c>
      <c r="B206" s="1" t="s">
        <v>445</v>
      </c>
      <c r="C206" s="1" t="s">
        <v>446</v>
      </c>
      <c r="D206" s="1" t="s">
        <v>598</v>
      </c>
      <c r="E206" s="1" t="s">
        <v>12</v>
      </c>
      <c r="F206" s="1">
        <v>16</v>
      </c>
      <c r="G206" s="1">
        <v>11</v>
      </c>
      <c r="H206" s="1">
        <v>48</v>
      </c>
    </row>
    <row r="207" spans="1:8" x14ac:dyDescent="0.2">
      <c r="A207" s="1" t="s">
        <v>601</v>
      </c>
      <c r="B207" s="1" t="s">
        <v>445</v>
      </c>
      <c r="C207" s="1" t="s">
        <v>446</v>
      </c>
      <c r="D207" s="1" t="s">
        <v>447</v>
      </c>
      <c r="E207" s="1" t="s">
        <v>17</v>
      </c>
      <c r="F207" s="1">
        <v>18</v>
      </c>
      <c r="G207" s="1">
        <v>18</v>
      </c>
      <c r="H207" s="1">
        <v>55</v>
      </c>
    </row>
    <row r="208" spans="1:8" x14ac:dyDescent="0.2">
      <c r="A208" s="1" t="s">
        <v>602</v>
      </c>
      <c r="B208" s="1" t="s">
        <v>445</v>
      </c>
      <c r="C208" s="1" t="s">
        <v>130</v>
      </c>
      <c r="D208" s="1" t="s">
        <v>159</v>
      </c>
      <c r="E208" s="1" t="s">
        <v>21</v>
      </c>
      <c r="F208" s="1">
        <v>15</v>
      </c>
      <c r="G208" s="1">
        <v>10</v>
      </c>
      <c r="H208" s="1">
        <v>40</v>
      </c>
    </row>
    <row r="209" spans="1:8" x14ac:dyDescent="0.2">
      <c r="A209" s="1" t="s">
        <v>603</v>
      </c>
      <c r="B209" s="1" t="s">
        <v>445</v>
      </c>
      <c r="C209" s="1" t="s">
        <v>604</v>
      </c>
      <c r="D209" s="1" t="s">
        <v>605</v>
      </c>
      <c r="E209" s="1" t="s">
        <v>12</v>
      </c>
      <c r="F209" s="1">
        <v>17</v>
      </c>
      <c r="G209" s="1">
        <v>19</v>
      </c>
      <c r="H209" s="1">
        <v>50</v>
      </c>
    </row>
    <row r="210" spans="1:8" x14ac:dyDescent="0.2">
      <c r="A210" s="1" t="s">
        <v>606</v>
      </c>
      <c r="B210" s="1" t="s">
        <v>213</v>
      </c>
      <c r="C210" s="1" t="s">
        <v>214</v>
      </c>
      <c r="D210" s="1" t="s">
        <v>215</v>
      </c>
      <c r="E210" s="1" t="s">
        <v>35</v>
      </c>
      <c r="F210" s="1">
        <v>10</v>
      </c>
      <c r="G210" s="1">
        <v>12</v>
      </c>
      <c r="H210" s="1">
        <v>45</v>
      </c>
    </row>
    <row r="211" spans="1:8" x14ac:dyDescent="0.2">
      <c r="A211" s="1" t="s">
        <v>607</v>
      </c>
      <c r="B211" s="1" t="s">
        <v>445</v>
      </c>
      <c r="C211" s="1" t="s">
        <v>608</v>
      </c>
      <c r="D211" s="1" t="s">
        <v>154</v>
      </c>
      <c r="E211" s="1" t="s">
        <v>21</v>
      </c>
      <c r="F211" s="1">
        <v>20</v>
      </c>
      <c r="G211" s="1">
        <v>20</v>
      </c>
      <c r="H211" s="1">
        <v>59</v>
      </c>
    </row>
    <row r="212" spans="1:8" x14ac:dyDescent="0.2">
      <c r="A212" s="1" t="s">
        <v>609</v>
      </c>
      <c r="B212" s="1" t="s">
        <v>445</v>
      </c>
      <c r="C212" s="1" t="s">
        <v>610</v>
      </c>
      <c r="D212" s="1" t="s">
        <v>611</v>
      </c>
      <c r="E212" s="1" t="s">
        <v>12</v>
      </c>
      <c r="F212" s="1">
        <v>16</v>
      </c>
      <c r="G212" s="1">
        <v>11</v>
      </c>
      <c r="H212" s="1">
        <v>48</v>
      </c>
    </row>
    <row r="213" spans="1:8" x14ac:dyDescent="0.2">
      <c r="A213" s="1" t="s">
        <v>612</v>
      </c>
      <c r="B213" s="1" t="s">
        <v>445</v>
      </c>
      <c r="C213" s="1" t="s">
        <v>613</v>
      </c>
      <c r="D213" s="1" t="s">
        <v>614</v>
      </c>
      <c r="E213" s="1" t="s">
        <v>17</v>
      </c>
      <c r="F213" s="1">
        <v>18</v>
      </c>
      <c r="G213" s="1">
        <v>18</v>
      </c>
      <c r="H213" s="1">
        <v>55</v>
      </c>
    </row>
    <row r="214" spans="1:8" x14ac:dyDescent="0.2">
      <c r="A214" s="1" t="s">
        <v>615</v>
      </c>
      <c r="B214" s="1" t="s">
        <v>213</v>
      </c>
      <c r="C214" s="1" t="s">
        <v>616</v>
      </c>
      <c r="D214" s="1" t="s">
        <v>215</v>
      </c>
      <c r="E214" s="1" t="s">
        <v>35</v>
      </c>
      <c r="F214" s="1">
        <v>10</v>
      </c>
      <c r="G214" s="1">
        <v>12</v>
      </c>
      <c r="H214" s="1">
        <v>45</v>
      </c>
    </row>
    <row r="215" spans="1:8" x14ac:dyDescent="0.2">
      <c r="A215" s="1" t="s">
        <v>617</v>
      </c>
      <c r="B215" s="1" t="s">
        <v>618</v>
      </c>
      <c r="C215" s="1" t="s">
        <v>619</v>
      </c>
      <c r="D215" s="1" t="s">
        <v>620</v>
      </c>
      <c r="E215" s="1" t="s">
        <v>21</v>
      </c>
      <c r="F215" s="1">
        <v>19</v>
      </c>
      <c r="G215" s="1">
        <v>18</v>
      </c>
      <c r="H215" s="1">
        <v>52</v>
      </c>
    </row>
    <row r="216" spans="1:8" x14ac:dyDescent="0.2">
      <c r="A216" s="1" t="s">
        <v>621</v>
      </c>
      <c r="B216" s="1" t="s">
        <v>213</v>
      </c>
      <c r="C216" s="1" t="s">
        <v>217</v>
      </c>
      <c r="D216" s="1" t="s">
        <v>218</v>
      </c>
      <c r="E216" s="1" t="s">
        <v>42</v>
      </c>
      <c r="F216" s="1">
        <v>15</v>
      </c>
      <c r="G216" s="1">
        <v>17</v>
      </c>
      <c r="H216" s="1">
        <v>50</v>
      </c>
    </row>
    <row r="217" spans="1:8" x14ac:dyDescent="0.2">
      <c r="A217" s="1" t="s">
        <v>622</v>
      </c>
      <c r="B217" s="1" t="s">
        <v>618</v>
      </c>
      <c r="C217" s="1" t="s">
        <v>623</v>
      </c>
      <c r="D217" s="1" t="s">
        <v>624</v>
      </c>
      <c r="E217" s="1" t="s">
        <v>21</v>
      </c>
      <c r="F217" s="1">
        <v>15</v>
      </c>
      <c r="G217" s="1">
        <v>13</v>
      </c>
      <c r="H217" s="1">
        <v>45</v>
      </c>
    </row>
    <row r="218" spans="1:8" x14ac:dyDescent="0.2">
      <c r="A218" s="1" t="s">
        <v>625</v>
      </c>
      <c r="B218" s="1" t="s">
        <v>618</v>
      </c>
      <c r="C218" s="1" t="s">
        <v>626</v>
      </c>
      <c r="D218" s="1" t="s">
        <v>627</v>
      </c>
      <c r="E218" s="1" t="s">
        <v>21</v>
      </c>
      <c r="F218" s="1">
        <v>20</v>
      </c>
      <c r="G218" s="1">
        <v>20</v>
      </c>
      <c r="H218" s="1">
        <v>57</v>
      </c>
    </row>
    <row r="219" spans="1:8" x14ac:dyDescent="0.2">
      <c r="A219" s="1" t="s">
        <v>628</v>
      </c>
      <c r="B219" s="1" t="s">
        <v>618</v>
      </c>
      <c r="C219" s="1" t="s">
        <v>629</v>
      </c>
      <c r="D219" s="1">
        <v>18</v>
      </c>
      <c r="E219" s="1" t="s">
        <v>12</v>
      </c>
      <c r="F219" s="1">
        <v>17</v>
      </c>
      <c r="G219" s="1">
        <v>18</v>
      </c>
      <c r="H219" s="1">
        <v>53</v>
      </c>
    </row>
    <row r="220" spans="1:8" x14ac:dyDescent="0.2">
      <c r="A220" s="1" t="s">
        <v>630</v>
      </c>
      <c r="B220" s="1" t="s">
        <v>631</v>
      </c>
      <c r="C220" s="1" t="s">
        <v>632</v>
      </c>
      <c r="D220" s="1" t="s">
        <v>101</v>
      </c>
      <c r="E220" s="1" t="s">
        <v>17</v>
      </c>
      <c r="F220" s="1">
        <v>12</v>
      </c>
      <c r="G220" s="1">
        <v>14</v>
      </c>
      <c r="H220" s="1">
        <v>35</v>
      </c>
    </row>
    <row r="221" spans="1:8" x14ac:dyDescent="0.2">
      <c r="A221" s="1" t="s">
        <v>633</v>
      </c>
      <c r="B221" s="1" t="s">
        <v>618</v>
      </c>
      <c r="C221" s="1" t="s">
        <v>634</v>
      </c>
      <c r="D221" s="1" t="s">
        <v>635</v>
      </c>
      <c r="E221" s="1" t="s">
        <v>12</v>
      </c>
      <c r="F221" s="1">
        <v>15</v>
      </c>
      <c r="G221" s="1">
        <v>12</v>
      </c>
      <c r="H221" s="1">
        <v>40</v>
      </c>
    </row>
    <row r="222" spans="1:8" x14ac:dyDescent="0.2">
      <c r="A222" s="1" t="s">
        <v>636</v>
      </c>
      <c r="B222" s="1" t="s">
        <v>631</v>
      </c>
      <c r="C222" s="1" t="s">
        <v>637</v>
      </c>
      <c r="D222" s="1" t="s">
        <v>505</v>
      </c>
      <c r="E222" s="1" t="s">
        <v>21</v>
      </c>
      <c r="F222" s="1">
        <v>14</v>
      </c>
      <c r="G222" s="1">
        <v>13</v>
      </c>
      <c r="H222" s="1">
        <v>35</v>
      </c>
    </row>
    <row r="223" spans="1:8" x14ac:dyDescent="0.2">
      <c r="A223" s="1" t="s">
        <v>638</v>
      </c>
      <c r="B223" s="1" t="s">
        <v>631</v>
      </c>
      <c r="C223" s="1" t="s">
        <v>639</v>
      </c>
      <c r="D223" s="1" t="s">
        <v>640</v>
      </c>
      <c r="E223" s="1" t="s">
        <v>21</v>
      </c>
      <c r="F223" s="1">
        <v>11</v>
      </c>
      <c r="G223" s="1">
        <v>10</v>
      </c>
      <c r="H223" s="1">
        <v>30</v>
      </c>
    </row>
    <row r="224" spans="1:8" x14ac:dyDescent="0.2">
      <c r="A224" s="1" t="s">
        <v>641</v>
      </c>
      <c r="B224" s="1" t="s">
        <v>631</v>
      </c>
      <c r="C224" s="1" t="s">
        <v>560</v>
      </c>
      <c r="D224" s="1" t="s">
        <v>104</v>
      </c>
      <c r="E224" s="1" t="s">
        <v>17</v>
      </c>
      <c r="F224" s="1">
        <v>17</v>
      </c>
      <c r="G224" s="1">
        <v>18</v>
      </c>
      <c r="H224" s="1">
        <v>52</v>
      </c>
    </row>
    <row r="225" spans="1:8" x14ac:dyDescent="0.2">
      <c r="A225" s="1" t="s">
        <v>642</v>
      </c>
      <c r="B225" s="1" t="s">
        <v>631</v>
      </c>
      <c r="C225" s="1" t="s">
        <v>643</v>
      </c>
      <c r="D225" s="1" t="s">
        <v>644</v>
      </c>
      <c r="E225" s="1" t="s">
        <v>17</v>
      </c>
      <c r="F225" s="1">
        <v>15</v>
      </c>
      <c r="G225" s="1">
        <v>17</v>
      </c>
      <c r="H225" s="1">
        <v>50</v>
      </c>
    </row>
    <row r="226" spans="1:8" x14ac:dyDescent="0.2">
      <c r="A226" s="1" t="s">
        <v>645</v>
      </c>
      <c r="B226" s="1" t="s">
        <v>518</v>
      </c>
      <c r="C226" s="1" t="s">
        <v>561</v>
      </c>
      <c r="D226" s="1" t="s">
        <v>343</v>
      </c>
      <c r="E226" s="1" t="s">
        <v>21</v>
      </c>
      <c r="F226" s="1">
        <v>18</v>
      </c>
      <c r="G226" s="1">
        <v>20</v>
      </c>
      <c r="H226" s="1">
        <v>50</v>
      </c>
    </row>
    <row r="227" spans="1:8" x14ac:dyDescent="0.2">
      <c r="A227" s="1" t="s">
        <v>646</v>
      </c>
      <c r="B227" s="1" t="s">
        <v>518</v>
      </c>
      <c r="C227" s="1" t="s">
        <v>647</v>
      </c>
      <c r="D227" s="1" t="s">
        <v>56</v>
      </c>
      <c r="E227" s="1" t="s">
        <v>12</v>
      </c>
      <c r="F227" s="1">
        <v>20</v>
      </c>
      <c r="G227" s="1">
        <v>18</v>
      </c>
      <c r="H227" s="1">
        <v>56</v>
      </c>
    </row>
    <row r="228" spans="1:8" x14ac:dyDescent="0.2">
      <c r="A228" s="1" t="s">
        <v>648</v>
      </c>
      <c r="B228" s="1" t="s">
        <v>518</v>
      </c>
      <c r="C228" s="1" t="s">
        <v>649</v>
      </c>
      <c r="D228" s="1" t="s">
        <v>56</v>
      </c>
      <c r="E228" s="1" t="s">
        <v>21</v>
      </c>
      <c r="F228" s="1">
        <v>12</v>
      </c>
      <c r="G228" s="1">
        <v>16</v>
      </c>
      <c r="H228" s="1">
        <v>48</v>
      </c>
    </row>
    <row r="229" spans="1:8" x14ac:dyDescent="0.2">
      <c r="A229" s="1" t="s">
        <v>650</v>
      </c>
      <c r="B229" s="1" t="s">
        <v>518</v>
      </c>
      <c r="C229" s="1" t="s">
        <v>651</v>
      </c>
      <c r="D229" s="1" t="s">
        <v>652</v>
      </c>
      <c r="E229" s="1" t="s">
        <v>21</v>
      </c>
      <c r="F229" s="1">
        <v>18</v>
      </c>
      <c r="G229" s="1">
        <v>18</v>
      </c>
      <c r="H229" s="1">
        <v>50</v>
      </c>
    </row>
    <row r="230" spans="1:8" x14ac:dyDescent="0.2">
      <c r="A230" s="1" t="s">
        <v>653</v>
      </c>
      <c r="B230" s="1" t="s">
        <v>518</v>
      </c>
      <c r="C230" s="1" t="s">
        <v>654</v>
      </c>
      <c r="D230" s="1" t="s">
        <v>655</v>
      </c>
      <c r="E230" s="1" t="s">
        <v>53</v>
      </c>
      <c r="F230" s="1">
        <v>20</v>
      </c>
      <c r="G230" s="1">
        <v>20</v>
      </c>
      <c r="H230" s="1">
        <v>58</v>
      </c>
    </row>
    <row r="231" spans="1:8" x14ac:dyDescent="0.2">
      <c r="A231" s="1" t="s">
        <v>656</v>
      </c>
      <c r="B231" s="1" t="s">
        <v>355</v>
      </c>
      <c r="C231" s="1" t="s">
        <v>346</v>
      </c>
      <c r="D231" s="1" t="s">
        <v>657</v>
      </c>
      <c r="E231" s="1" t="s">
        <v>21</v>
      </c>
      <c r="F231" s="1">
        <v>16</v>
      </c>
      <c r="G231" s="1">
        <v>17</v>
      </c>
      <c r="H231" s="1">
        <v>38</v>
      </c>
    </row>
    <row r="232" spans="1:8" x14ac:dyDescent="0.2">
      <c r="A232" s="1" t="s">
        <v>658</v>
      </c>
      <c r="B232" s="1" t="s">
        <v>355</v>
      </c>
      <c r="C232" s="1" t="s">
        <v>659</v>
      </c>
      <c r="D232" s="1" t="s">
        <v>660</v>
      </c>
      <c r="E232" s="1" t="s">
        <v>21</v>
      </c>
      <c r="F232" s="1">
        <v>16</v>
      </c>
      <c r="G232" s="1">
        <v>11</v>
      </c>
      <c r="H232" s="1">
        <v>57</v>
      </c>
    </row>
    <row r="233" spans="1:8" x14ac:dyDescent="0.2">
      <c r="A233" s="1" t="s">
        <v>661</v>
      </c>
      <c r="B233" s="1" t="s">
        <v>355</v>
      </c>
      <c r="C233" s="1" t="s">
        <v>662</v>
      </c>
      <c r="D233" s="1" t="s">
        <v>663</v>
      </c>
      <c r="E233" s="1" t="s">
        <v>12</v>
      </c>
      <c r="F233" s="1">
        <v>19.5</v>
      </c>
      <c r="G233" s="1">
        <v>18.5</v>
      </c>
      <c r="H233" s="1">
        <v>55.5</v>
      </c>
    </row>
    <row r="234" spans="1:8" x14ac:dyDescent="0.2">
      <c r="A234" s="1" t="s">
        <v>664</v>
      </c>
      <c r="B234" s="1" t="s">
        <v>665</v>
      </c>
      <c r="C234" s="1" t="s">
        <v>666</v>
      </c>
      <c r="D234" s="1" t="s">
        <v>667</v>
      </c>
      <c r="E234" s="1" t="s">
        <v>21</v>
      </c>
      <c r="F234" s="1" t="s">
        <v>668</v>
      </c>
      <c r="G234" s="1" t="s">
        <v>669</v>
      </c>
      <c r="H234" s="1" t="s">
        <v>670</v>
      </c>
    </row>
    <row r="235" spans="1:8" x14ac:dyDescent="0.2">
      <c r="A235" s="1" t="s">
        <v>671</v>
      </c>
      <c r="B235" s="1" t="s">
        <v>405</v>
      </c>
      <c r="C235" s="1" t="s">
        <v>672</v>
      </c>
      <c r="D235" s="1" t="s">
        <v>673</v>
      </c>
      <c r="E235" s="1" t="s">
        <v>17</v>
      </c>
      <c r="F235" s="1">
        <v>11</v>
      </c>
      <c r="G235" s="1">
        <v>13</v>
      </c>
      <c r="H235" s="1">
        <v>33</v>
      </c>
    </row>
    <row r="236" spans="1:8" x14ac:dyDescent="0.2">
      <c r="A236" s="1" t="s">
        <v>674</v>
      </c>
      <c r="B236" s="1" t="s">
        <v>405</v>
      </c>
      <c r="C236" s="1" t="s">
        <v>154</v>
      </c>
      <c r="D236" s="1" t="s">
        <v>675</v>
      </c>
      <c r="E236" s="1" t="s">
        <v>21</v>
      </c>
      <c r="F236" s="1">
        <v>18</v>
      </c>
      <c r="G236" s="1">
        <v>7</v>
      </c>
      <c r="H236" s="1">
        <v>40</v>
      </c>
    </row>
    <row r="237" spans="1:8" x14ac:dyDescent="0.2">
      <c r="A237" s="1" t="s">
        <v>676</v>
      </c>
      <c r="B237" s="1" t="s">
        <v>405</v>
      </c>
      <c r="C237" s="1" t="s">
        <v>677</v>
      </c>
      <c r="D237" s="1" t="s">
        <v>678</v>
      </c>
      <c r="E237" s="1" t="s">
        <v>21</v>
      </c>
      <c r="F237" s="1">
        <v>15</v>
      </c>
      <c r="G237" s="1">
        <v>12</v>
      </c>
      <c r="H237" s="1">
        <v>37</v>
      </c>
    </row>
    <row r="238" spans="1:8" x14ac:dyDescent="0.2">
      <c r="A238" s="1" t="s">
        <v>679</v>
      </c>
      <c r="B238" s="1" t="s">
        <v>405</v>
      </c>
      <c r="C238" s="1" t="s">
        <v>680</v>
      </c>
      <c r="D238" s="1" t="s">
        <v>283</v>
      </c>
      <c r="E238" s="1" t="s">
        <v>21</v>
      </c>
      <c r="F238" s="1">
        <v>9</v>
      </c>
      <c r="G238" s="1">
        <v>7</v>
      </c>
      <c r="H238" s="1">
        <v>29</v>
      </c>
    </row>
    <row r="239" spans="1:8" x14ac:dyDescent="0.2">
      <c r="A239" s="1" t="s">
        <v>681</v>
      </c>
      <c r="B239" s="1" t="s">
        <v>665</v>
      </c>
      <c r="C239" s="1" t="s">
        <v>666</v>
      </c>
      <c r="D239" s="1" t="s">
        <v>667</v>
      </c>
      <c r="E239" s="1" t="s">
        <v>21</v>
      </c>
      <c r="F239" s="1">
        <v>12</v>
      </c>
      <c r="G239" s="1">
        <v>18</v>
      </c>
      <c r="H239" s="1">
        <v>52</v>
      </c>
    </row>
    <row r="240" spans="1:8" x14ac:dyDescent="0.2">
      <c r="A240" s="1" t="s">
        <v>682</v>
      </c>
      <c r="B240" s="1" t="s">
        <v>683</v>
      </c>
      <c r="C240" s="1" t="s">
        <v>684</v>
      </c>
      <c r="D240" s="1" t="s">
        <v>685</v>
      </c>
      <c r="E240" s="1" t="s">
        <v>53</v>
      </c>
      <c r="F240" s="1" t="s">
        <v>686</v>
      </c>
      <c r="G240" s="1" t="s">
        <v>687</v>
      </c>
      <c r="H240" s="1" t="s">
        <v>688</v>
      </c>
    </row>
    <row r="241" spans="1:8" x14ac:dyDescent="0.2">
      <c r="A241" s="1" t="s">
        <v>689</v>
      </c>
      <c r="B241" s="1" t="s">
        <v>690</v>
      </c>
      <c r="C241" s="1" t="s">
        <v>101</v>
      </c>
      <c r="D241" s="1" t="s">
        <v>691</v>
      </c>
      <c r="E241" s="1" t="s">
        <v>21</v>
      </c>
      <c r="F241" s="1">
        <v>17</v>
      </c>
      <c r="G241" s="1">
        <v>19</v>
      </c>
      <c r="H241" s="1">
        <v>48</v>
      </c>
    </row>
    <row r="242" spans="1:8" x14ac:dyDescent="0.2">
      <c r="A242" s="1" t="s">
        <v>692</v>
      </c>
      <c r="B242" s="1" t="s">
        <v>690</v>
      </c>
      <c r="C242" s="1" t="s">
        <v>693</v>
      </c>
      <c r="D242" s="1" t="s">
        <v>694</v>
      </c>
      <c r="E242" s="1" t="s">
        <v>21</v>
      </c>
      <c r="F242" s="1">
        <v>18</v>
      </c>
      <c r="G242" s="1">
        <v>16</v>
      </c>
      <c r="H242" s="1">
        <v>45</v>
      </c>
    </row>
    <row r="243" spans="1:8" x14ac:dyDescent="0.2">
      <c r="A243" s="1" t="s">
        <v>695</v>
      </c>
      <c r="B243" s="1" t="s">
        <v>690</v>
      </c>
      <c r="C243" s="1" t="s">
        <v>696</v>
      </c>
      <c r="D243" s="1" t="s">
        <v>697</v>
      </c>
      <c r="E243" s="1" t="s">
        <v>12</v>
      </c>
      <c r="F243" s="1">
        <v>20</v>
      </c>
      <c r="G243" s="1">
        <v>18</v>
      </c>
      <c r="H243" s="1">
        <v>53</v>
      </c>
    </row>
    <row r="244" spans="1:8" x14ac:dyDescent="0.2">
      <c r="A244" s="1" t="s">
        <v>698</v>
      </c>
      <c r="B244" s="1" t="s">
        <v>690</v>
      </c>
      <c r="C244" s="1" t="s">
        <v>699</v>
      </c>
      <c r="D244" s="1" t="s">
        <v>700</v>
      </c>
      <c r="E244" s="1" t="s">
        <v>21</v>
      </c>
      <c r="F244" s="1">
        <v>15</v>
      </c>
      <c r="G244" s="1">
        <v>14</v>
      </c>
      <c r="H244" s="1">
        <v>57</v>
      </c>
    </row>
    <row r="245" spans="1:8" x14ac:dyDescent="0.2">
      <c r="A245" s="1" t="s">
        <v>701</v>
      </c>
      <c r="B245" s="1" t="s">
        <v>690</v>
      </c>
      <c r="C245" s="1" t="s">
        <v>702</v>
      </c>
      <c r="D245" s="1" t="s">
        <v>703</v>
      </c>
      <c r="E245" s="1" t="s">
        <v>12</v>
      </c>
      <c r="F245" s="1">
        <v>19</v>
      </c>
      <c r="G245" s="1">
        <v>17</v>
      </c>
      <c r="H245" s="1">
        <v>52</v>
      </c>
    </row>
    <row r="246" spans="1:8" x14ac:dyDescent="0.2">
      <c r="A246" s="1" t="s">
        <v>704</v>
      </c>
      <c r="B246" s="1" t="s">
        <v>705</v>
      </c>
      <c r="C246" s="1" t="s">
        <v>10</v>
      </c>
      <c r="D246" s="1" t="s">
        <v>706</v>
      </c>
      <c r="E246" s="1" t="s">
        <v>12</v>
      </c>
      <c r="F246" s="1">
        <v>13</v>
      </c>
      <c r="G246" s="1">
        <v>20</v>
      </c>
      <c r="H246" s="1">
        <v>35</v>
      </c>
    </row>
    <row r="247" spans="1:8" x14ac:dyDescent="0.2">
      <c r="A247" s="1" t="s">
        <v>707</v>
      </c>
      <c r="B247" s="1" t="s">
        <v>705</v>
      </c>
      <c r="C247" s="1" t="s">
        <v>708</v>
      </c>
      <c r="D247" s="1" t="s">
        <v>709</v>
      </c>
      <c r="E247" s="1" t="s">
        <v>567</v>
      </c>
      <c r="F247" s="1">
        <v>19</v>
      </c>
      <c r="G247" s="1">
        <v>3</v>
      </c>
      <c r="H247" s="1">
        <v>50</v>
      </c>
    </row>
    <row r="248" spans="1:8" x14ac:dyDescent="0.2">
      <c r="A248" s="1" t="s">
        <v>710</v>
      </c>
      <c r="B248" s="1" t="s">
        <v>705</v>
      </c>
      <c r="C248" s="1" t="s">
        <v>711</v>
      </c>
      <c r="D248" s="1" t="s">
        <v>154</v>
      </c>
      <c r="E248" s="1" t="s">
        <v>21</v>
      </c>
      <c r="F248" s="1">
        <v>20</v>
      </c>
      <c r="G248" s="1">
        <v>13</v>
      </c>
      <c r="H248" s="1">
        <v>41</v>
      </c>
    </row>
    <row r="249" spans="1:8" x14ac:dyDescent="0.2">
      <c r="A249" s="1" t="s">
        <v>712</v>
      </c>
      <c r="B249" s="1" t="s">
        <v>705</v>
      </c>
      <c r="C249" s="1" t="s">
        <v>713</v>
      </c>
      <c r="D249" s="1" t="s">
        <v>714</v>
      </c>
      <c r="E249" s="1" t="s">
        <v>12</v>
      </c>
      <c r="F249" s="1">
        <v>7</v>
      </c>
      <c r="G249" s="1">
        <v>10</v>
      </c>
      <c r="H249" s="1">
        <v>48</v>
      </c>
    </row>
    <row r="250" spans="1:8" x14ac:dyDescent="0.2">
      <c r="A250" s="1" t="s">
        <v>715</v>
      </c>
      <c r="B250" s="1" t="s">
        <v>705</v>
      </c>
      <c r="C250" s="1" t="s">
        <v>716</v>
      </c>
      <c r="D250" s="1" t="s">
        <v>717</v>
      </c>
      <c r="E250" s="1" t="s">
        <v>53</v>
      </c>
      <c r="F250" s="1">
        <v>2</v>
      </c>
      <c r="G250" s="1">
        <v>18</v>
      </c>
      <c r="H250" s="1">
        <v>53</v>
      </c>
    </row>
    <row r="251" spans="1:8" x14ac:dyDescent="0.2">
      <c r="A251" s="1" t="s">
        <v>718</v>
      </c>
      <c r="B251" s="1" t="s">
        <v>719</v>
      </c>
      <c r="C251" s="1" t="s">
        <v>720</v>
      </c>
      <c r="D251" s="1" t="s">
        <v>721</v>
      </c>
      <c r="E251" s="1" t="s">
        <v>21</v>
      </c>
      <c r="F251" s="1">
        <v>15</v>
      </c>
      <c r="G251" s="1">
        <v>18</v>
      </c>
      <c r="H251" s="1">
        <v>17</v>
      </c>
    </row>
    <row r="252" spans="1:8" x14ac:dyDescent="0.2">
      <c r="A252" s="1" t="s">
        <v>722</v>
      </c>
      <c r="B252" s="1" t="s">
        <v>719</v>
      </c>
      <c r="C252" s="1" t="s">
        <v>723</v>
      </c>
      <c r="D252" s="1" t="s">
        <v>721</v>
      </c>
      <c r="E252" s="1" t="s">
        <v>21</v>
      </c>
      <c r="F252" s="1">
        <v>13</v>
      </c>
      <c r="G252" s="1">
        <v>16</v>
      </c>
      <c r="H252" s="1">
        <v>45</v>
      </c>
    </row>
    <row r="253" spans="1:8" x14ac:dyDescent="0.2">
      <c r="A253" s="1" t="s">
        <v>724</v>
      </c>
      <c r="B253" s="1" t="s">
        <v>719</v>
      </c>
      <c r="C253" s="1" t="s">
        <v>725</v>
      </c>
      <c r="D253" s="1" t="s">
        <v>721</v>
      </c>
      <c r="E253" s="1" t="s">
        <v>21</v>
      </c>
      <c r="F253" s="1">
        <v>10</v>
      </c>
      <c r="G253" s="1">
        <v>14</v>
      </c>
      <c r="H253" s="1">
        <v>38</v>
      </c>
    </row>
    <row r="254" spans="1:8" x14ac:dyDescent="0.2">
      <c r="A254" s="1" t="s">
        <v>726</v>
      </c>
      <c r="B254" s="1" t="s">
        <v>719</v>
      </c>
      <c r="C254" s="1" t="s">
        <v>727</v>
      </c>
      <c r="D254" s="1" t="s">
        <v>154</v>
      </c>
      <c r="E254" s="1" t="s">
        <v>21</v>
      </c>
      <c r="F254" s="1">
        <v>18</v>
      </c>
      <c r="G254" s="1">
        <v>17</v>
      </c>
      <c r="H254" s="1">
        <v>48</v>
      </c>
    </row>
    <row r="255" spans="1:8" x14ac:dyDescent="0.2">
      <c r="A255" s="1" t="s">
        <v>728</v>
      </c>
      <c r="B255" s="1" t="s">
        <v>719</v>
      </c>
      <c r="C255" s="1" t="s">
        <v>107</v>
      </c>
      <c r="D255" s="1" t="s">
        <v>729</v>
      </c>
      <c r="E255" s="1" t="s">
        <v>21</v>
      </c>
      <c r="F255" s="1">
        <v>13</v>
      </c>
      <c r="G255" s="1">
        <v>12</v>
      </c>
      <c r="H255" s="1">
        <v>36</v>
      </c>
    </row>
    <row r="256" spans="1:8" x14ac:dyDescent="0.2">
      <c r="A256" s="1" t="s">
        <v>730</v>
      </c>
      <c r="B256" s="1" t="s">
        <v>392</v>
      </c>
      <c r="C256" s="1" t="s">
        <v>731</v>
      </c>
      <c r="D256" s="1" t="s">
        <v>378</v>
      </c>
      <c r="E256" s="1" t="s">
        <v>21</v>
      </c>
      <c r="F256" s="1">
        <v>13</v>
      </c>
      <c r="G256" s="1">
        <v>11</v>
      </c>
      <c r="H256" s="1">
        <v>32</v>
      </c>
    </row>
    <row r="257" spans="1:8" x14ac:dyDescent="0.2">
      <c r="A257" s="1" t="s">
        <v>732</v>
      </c>
      <c r="B257" s="1" t="s">
        <v>392</v>
      </c>
      <c r="C257" s="1" t="s">
        <v>733</v>
      </c>
      <c r="D257" s="1" t="s">
        <v>734</v>
      </c>
      <c r="E257" s="1" t="s">
        <v>12</v>
      </c>
      <c r="F257" s="1">
        <v>15</v>
      </c>
      <c r="G257" s="1">
        <v>10</v>
      </c>
      <c r="H257" s="1">
        <v>43</v>
      </c>
    </row>
    <row r="258" spans="1:8" x14ac:dyDescent="0.2">
      <c r="A258" s="1" t="s">
        <v>735</v>
      </c>
      <c r="B258" s="1" t="s">
        <v>392</v>
      </c>
      <c r="C258" s="1" t="s">
        <v>134</v>
      </c>
      <c r="D258" s="1" t="s">
        <v>736</v>
      </c>
      <c r="E258" s="1" t="s">
        <v>12</v>
      </c>
      <c r="F258" s="1">
        <v>16</v>
      </c>
      <c r="G258" s="1">
        <v>9</v>
      </c>
      <c r="H258" s="1">
        <v>45</v>
      </c>
    </row>
    <row r="259" spans="1:8" x14ac:dyDescent="0.2">
      <c r="A259" s="1" t="s">
        <v>737</v>
      </c>
      <c r="B259" s="1" t="s">
        <v>392</v>
      </c>
      <c r="C259" s="1" t="s">
        <v>738</v>
      </c>
      <c r="D259" s="1" t="s">
        <v>739</v>
      </c>
      <c r="E259" s="1" t="s">
        <v>12</v>
      </c>
      <c r="F259" s="1">
        <v>12</v>
      </c>
      <c r="G259" s="1">
        <v>14</v>
      </c>
      <c r="H259" s="1">
        <v>38</v>
      </c>
    </row>
    <row r="260" spans="1:8" x14ac:dyDescent="0.2">
      <c r="A260" s="1" t="s">
        <v>740</v>
      </c>
      <c r="B260" s="1" t="s">
        <v>392</v>
      </c>
      <c r="C260" s="1" t="s">
        <v>159</v>
      </c>
      <c r="D260" s="1" t="s">
        <v>741</v>
      </c>
      <c r="E260" s="1" t="s">
        <v>21</v>
      </c>
      <c r="F260" s="1">
        <v>17</v>
      </c>
      <c r="G260" s="1">
        <v>10</v>
      </c>
      <c r="H260" s="1">
        <v>34</v>
      </c>
    </row>
    <row r="261" spans="1:8" x14ac:dyDescent="0.2">
      <c r="A261" s="1" t="s">
        <v>742</v>
      </c>
      <c r="B261" s="1" t="s">
        <v>281</v>
      </c>
      <c r="C261" s="1" t="s">
        <v>743</v>
      </c>
      <c r="D261" s="1" t="s">
        <v>744</v>
      </c>
      <c r="E261" s="1" t="s">
        <v>496</v>
      </c>
      <c r="F261" s="1">
        <v>10</v>
      </c>
      <c r="G261" s="1">
        <v>15</v>
      </c>
      <c r="H261" s="1">
        <v>45</v>
      </c>
    </row>
    <row r="262" spans="1:8" x14ac:dyDescent="0.2">
      <c r="A262" s="1" t="s">
        <v>745</v>
      </c>
      <c r="B262" s="1" t="s">
        <v>281</v>
      </c>
      <c r="C262" s="1" t="s">
        <v>52</v>
      </c>
      <c r="D262" s="1" t="s">
        <v>746</v>
      </c>
      <c r="E262" s="1" t="s">
        <v>21</v>
      </c>
      <c r="F262" s="1">
        <v>14</v>
      </c>
      <c r="G262" s="1">
        <v>12</v>
      </c>
      <c r="H262" s="1">
        <v>50</v>
      </c>
    </row>
    <row r="263" spans="1:8" x14ac:dyDescent="0.2">
      <c r="A263" s="1" t="s">
        <v>747</v>
      </c>
      <c r="B263" s="1" t="s">
        <v>281</v>
      </c>
      <c r="C263" s="1" t="s">
        <v>273</v>
      </c>
      <c r="D263" s="1" t="s">
        <v>748</v>
      </c>
      <c r="E263" s="1" t="s">
        <v>12</v>
      </c>
      <c r="F263" s="1">
        <v>11</v>
      </c>
      <c r="G263" s="1">
        <v>19</v>
      </c>
      <c r="H263" s="1">
        <v>55</v>
      </c>
    </row>
    <row r="264" spans="1:8" x14ac:dyDescent="0.2">
      <c r="A264" s="1" t="s">
        <v>749</v>
      </c>
      <c r="B264" s="1" t="s">
        <v>281</v>
      </c>
      <c r="C264" s="1" t="s">
        <v>750</v>
      </c>
      <c r="D264" s="1" t="s">
        <v>751</v>
      </c>
      <c r="E264" s="1" t="s">
        <v>21</v>
      </c>
      <c r="F264" s="1">
        <v>18</v>
      </c>
      <c r="G264" s="1">
        <v>15</v>
      </c>
      <c r="H264" s="1">
        <v>40</v>
      </c>
    </row>
    <row r="265" spans="1:8" x14ac:dyDescent="0.2">
      <c r="A265" s="1" t="s">
        <v>752</v>
      </c>
      <c r="B265" s="1" t="s">
        <v>753</v>
      </c>
      <c r="C265" s="1" t="s">
        <v>283</v>
      </c>
      <c r="D265" s="1" t="s">
        <v>89</v>
      </c>
      <c r="E265" s="1" t="s">
        <v>21</v>
      </c>
      <c r="F265" s="1">
        <v>14</v>
      </c>
      <c r="G265" s="1">
        <v>16</v>
      </c>
      <c r="H265" s="1">
        <v>44</v>
      </c>
    </row>
    <row r="266" spans="1:8" x14ac:dyDescent="0.2">
      <c r="A266" s="1" t="s">
        <v>754</v>
      </c>
      <c r="B266" s="1" t="s">
        <v>753</v>
      </c>
      <c r="C266" s="1" t="s">
        <v>755</v>
      </c>
      <c r="D266" s="1" t="s">
        <v>154</v>
      </c>
      <c r="E266" s="1" t="s">
        <v>17</v>
      </c>
      <c r="F266" s="1">
        <v>18</v>
      </c>
      <c r="G266" s="1">
        <v>17</v>
      </c>
      <c r="H266" s="1">
        <v>55</v>
      </c>
    </row>
    <row r="267" spans="1:8" x14ac:dyDescent="0.2">
      <c r="A267" s="1" t="s">
        <v>756</v>
      </c>
      <c r="B267" s="1" t="s">
        <v>753</v>
      </c>
      <c r="C267" s="1" t="s">
        <v>757</v>
      </c>
      <c r="D267" s="1" t="s">
        <v>758</v>
      </c>
      <c r="E267" s="1" t="s">
        <v>17</v>
      </c>
      <c r="F267" s="1">
        <v>7</v>
      </c>
      <c r="G267" s="1">
        <v>13</v>
      </c>
      <c r="H267" s="1">
        <v>25</v>
      </c>
    </row>
    <row r="268" spans="1:8" x14ac:dyDescent="0.2">
      <c r="A268" s="1" t="s">
        <v>759</v>
      </c>
      <c r="B268" s="1" t="s">
        <v>753</v>
      </c>
      <c r="C268" s="1" t="s">
        <v>107</v>
      </c>
      <c r="D268" s="1" t="s">
        <v>760</v>
      </c>
      <c r="E268" s="1" t="s">
        <v>53</v>
      </c>
      <c r="F268" s="1">
        <v>16</v>
      </c>
      <c r="G268" s="1">
        <v>15</v>
      </c>
      <c r="H268" s="1">
        <v>41</v>
      </c>
    </row>
    <row r="269" spans="1:8" x14ac:dyDescent="0.2">
      <c r="A269" s="1" t="s">
        <v>761</v>
      </c>
      <c r="B269" s="1" t="s">
        <v>753</v>
      </c>
      <c r="C269" s="1" t="s">
        <v>762</v>
      </c>
      <c r="D269" s="1" t="s">
        <v>763</v>
      </c>
      <c r="E269" s="1" t="s">
        <v>17</v>
      </c>
      <c r="F269" s="1">
        <v>12</v>
      </c>
      <c r="G269" s="1">
        <v>13</v>
      </c>
      <c r="H269" s="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result data copied</vt:lpstr>
      <vt:lpstr>Student result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2026-03-30T12:55:53Z</dcterms:created>
  <dcterms:modified xsi:type="dcterms:W3CDTF">2026-06-11T14:39:18Z</dcterms:modified>
</cp:coreProperties>
</file>